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DMIN\Desktop\Excel Portfolio\Lendo Chanllenge\Task 3 Excel\"/>
    </mc:Choice>
  </mc:AlternateContent>
  <bookViews>
    <workbookView xWindow="0" yWindow="0" windowWidth="20490" windowHeight="8910" tabRatio="1000" activeTab="1"/>
  </bookViews>
  <sheets>
    <sheet name="Introduction " sheetId="20" r:id="rId1"/>
    <sheet name="Task 1-Contract Work" sheetId="1" r:id="rId2"/>
    <sheet name="Tables" sheetId="3" r:id="rId3"/>
    <sheet name="Task 2-WorkingSheet" sheetId="31" r:id="rId4"/>
    <sheet name="Task 2-Total Pay Report " sheetId="8" r:id="rId5"/>
    <sheet name="Task 3-Employee Name Report " sheetId="13" r:id="rId6"/>
    <sheet name="Task 4-WorkingSheet" sheetId="30" r:id="rId7"/>
    <sheet name="Task 4-Summarize Sales" sheetId="32" r:id="rId8"/>
    <sheet name="Task 5-Analyze Stock Returns " sheetId="18" r:id="rId9"/>
    <sheet name="Task 6- Outlining" sheetId="29" r:id="rId10"/>
    <sheet name="Task 7- Data Validation" sheetId="28" r:id="rId11"/>
    <sheet name="Task 8- Pivot Tables" sheetId="24" r:id="rId12"/>
    <sheet name="Scoring Guide" sheetId="25" r:id="rId13"/>
  </sheets>
  <definedNames>
    <definedName name="_xlnm._FilterDatabase" localSheetId="2" hidden="1">Tables!$C$32:$E$72</definedName>
    <definedName name="_xlnm._FilterDatabase" localSheetId="1" hidden="1">'Task 1-Contract Work'!$B$9:$J$111</definedName>
    <definedName name="_xlnm._FilterDatabase" localSheetId="4" hidden="1">'Task 2-Total Pay Report '!$B$9:$G$29</definedName>
    <definedName name="_xlnm._FilterDatabase" localSheetId="3" hidden="1">'Task 2-WorkingSheet'!$B$9:$I$111</definedName>
    <definedName name="_xlnm._FilterDatabase" localSheetId="7" hidden="1">'Task 4-Summarize Sales'!$G$7:$I$28</definedName>
    <definedName name="_xlnm._FilterDatabase" localSheetId="6" hidden="1">'Task 4-WorkingSheet'!$H$7:$K$19</definedName>
    <definedName name="_xlnm._FilterDatabase" localSheetId="8" hidden="1">'Task 5-Analyze Stock Returns '!$F$11:$F$94</definedName>
    <definedName name="_xlnm._FilterDatabase" localSheetId="11" hidden="1">'Task 8- Pivot Tables'!$C$8:$G$224</definedName>
    <definedName name="Clients">Tables!$C$19:$D$28</definedName>
    <definedName name="CriteriaList" localSheetId="10">'Task 7- Data Validation'!$J$7:$J$16</definedName>
    <definedName name="_xlnm.Database">'Task 8- Pivot Tables'!$C$8:$G$224</definedName>
    <definedName name="Employees">Tables!$C$33:$E$72</definedName>
    <definedName name="PMReturns" localSheetId="8">'Task 5-Analyze Stock Returns '!$F$12:$F$94</definedName>
    <definedName name="Work_Codes">Tables!$C$12:$E$14</definedName>
  </definedNames>
  <calcPr calcId="162913"/>
  <pivotCaches>
    <pivotCache cacheId="0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3" i="18" l="1"/>
  <c r="K14" i="18"/>
  <c r="K15" i="18"/>
  <c r="K16" i="18"/>
  <c r="K17" i="18"/>
  <c r="K12" i="18"/>
  <c r="J12" i="18" a="1"/>
  <c r="J12" i="18" s="1"/>
  <c r="E25" i="32"/>
  <c r="D24" i="32"/>
  <c r="E10" i="32"/>
  <c r="E14" i="32"/>
  <c r="E18" i="32"/>
  <c r="E23" i="32"/>
  <c r="K9" i="30"/>
  <c r="K10" i="30"/>
  <c r="K11" i="30"/>
  <c r="K12" i="30"/>
  <c r="K13" i="30"/>
  <c r="K14" i="30"/>
  <c r="K15" i="30"/>
  <c r="K16" i="30"/>
  <c r="K17" i="30"/>
  <c r="K18" i="30"/>
  <c r="K19" i="30"/>
  <c r="K8" i="30"/>
  <c r="J15" i="30"/>
  <c r="J16" i="30"/>
  <c r="J17" i="30"/>
  <c r="J18" i="30"/>
  <c r="J19" i="30"/>
  <c r="J100" i="32"/>
  <c r="G11" i="8"/>
  <c r="G13" i="8"/>
  <c r="G15" i="8"/>
  <c r="G17" i="8"/>
  <c r="G19" i="8"/>
  <c r="G22" i="8"/>
  <c r="G27" i="8"/>
  <c r="G30" i="8"/>
  <c r="D12" i="8"/>
  <c r="D14" i="8"/>
  <c r="D16" i="8"/>
  <c r="D18" i="8"/>
  <c r="D20" i="8"/>
  <c r="D21" i="8"/>
  <c r="D23" i="8"/>
  <c r="D24" i="8"/>
  <c r="D25" i="8"/>
  <c r="D26" i="8"/>
  <c r="D28" i="8"/>
  <c r="D29" i="8"/>
  <c r="D10" i="8"/>
  <c r="C16" i="8"/>
  <c r="C18" i="8"/>
  <c r="C20" i="8"/>
  <c r="C21" i="8"/>
  <c r="C23" i="8"/>
  <c r="C24" i="8"/>
  <c r="C25" i="8"/>
  <c r="C26" i="8"/>
  <c r="C28" i="8"/>
  <c r="C29" i="8"/>
  <c r="C12" i="8"/>
  <c r="C14" i="8"/>
  <c r="C10" i="8"/>
  <c r="J15" i="18" l="1"/>
  <c r="J14" i="18"/>
  <c r="J17" i="18"/>
  <c r="J13" i="18"/>
  <c r="J16" i="18"/>
  <c r="G31" i="8"/>
  <c r="C11" i="31"/>
  <c r="D11" i="31" s="1"/>
  <c r="C12" i="31"/>
  <c r="D12" i="31" s="1"/>
  <c r="C13" i="31"/>
  <c r="D13" i="31" s="1"/>
  <c r="C14" i="31"/>
  <c r="D14" i="31" s="1"/>
  <c r="C15" i="31"/>
  <c r="D15" i="31" s="1"/>
  <c r="C16" i="31"/>
  <c r="D16" i="31" s="1"/>
  <c r="C17" i="31"/>
  <c r="D17" i="31" s="1"/>
  <c r="C18" i="31"/>
  <c r="D18" i="31" s="1"/>
  <c r="C19" i="31"/>
  <c r="D19" i="31" s="1"/>
  <c r="C20" i="31"/>
  <c r="D20" i="31" s="1"/>
  <c r="C21" i="31"/>
  <c r="D21" i="31" s="1"/>
  <c r="C22" i="31"/>
  <c r="D22" i="31" s="1"/>
  <c r="C23" i="31"/>
  <c r="D23" i="31" s="1"/>
  <c r="C24" i="31"/>
  <c r="D24" i="31" s="1"/>
  <c r="C25" i="31"/>
  <c r="D25" i="31" s="1"/>
  <c r="C26" i="31"/>
  <c r="D26" i="31" s="1"/>
  <c r="C27" i="31"/>
  <c r="D27" i="31" s="1"/>
  <c r="C28" i="31"/>
  <c r="D28" i="31" s="1"/>
  <c r="C29" i="31"/>
  <c r="D29" i="31" s="1"/>
  <c r="C30" i="31"/>
  <c r="D30" i="31" s="1"/>
  <c r="C31" i="31"/>
  <c r="D31" i="31" s="1"/>
  <c r="C32" i="31"/>
  <c r="D32" i="31" s="1"/>
  <c r="C33" i="31"/>
  <c r="D33" i="31" s="1"/>
  <c r="C34" i="31"/>
  <c r="D34" i="31" s="1"/>
  <c r="C35" i="31"/>
  <c r="D35" i="31" s="1"/>
  <c r="C36" i="31"/>
  <c r="D36" i="31" s="1"/>
  <c r="C37" i="31"/>
  <c r="D37" i="31" s="1"/>
  <c r="C38" i="31"/>
  <c r="D38" i="31" s="1"/>
  <c r="C39" i="31"/>
  <c r="C40" i="31"/>
  <c r="D40" i="31" s="1"/>
  <c r="C41" i="31"/>
  <c r="D41" i="31" s="1"/>
  <c r="C42" i="31"/>
  <c r="D42" i="31" s="1"/>
  <c r="C43" i="31"/>
  <c r="D43" i="31" s="1"/>
  <c r="C44" i="31"/>
  <c r="D44" i="31" s="1"/>
  <c r="C45" i="31"/>
  <c r="D45" i="31" s="1"/>
  <c r="C46" i="31"/>
  <c r="D46" i="31" s="1"/>
  <c r="C47" i="31"/>
  <c r="D47" i="31" s="1"/>
  <c r="C48" i="31"/>
  <c r="C49" i="31"/>
  <c r="D49" i="31" s="1"/>
  <c r="C50" i="31"/>
  <c r="D50" i="31" s="1"/>
  <c r="C51" i="31"/>
  <c r="D51" i="31" s="1"/>
  <c r="C52" i="31"/>
  <c r="D52" i="31" s="1"/>
  <c r="C53" i="31"/>
  <c r="D53" i="31" s="1"/>
  <c r="C54" i="31"/>
  <c r="D54" i="31" s="1"/>
  <c r="C55" i="31"/>
  <c r="D55" i="31" s="1"/>
  <c r="C56" i="31"/>
  <c r="D56" i="31" s="1"/>
  <c r="C57" i="31"/>
  <c r="D57" i="31" s="1"/>
  <c r="C58" i="31"/>
  <c r="D58" i="31" s="1"/>
  <c r="C59" i="31"/>
  <c r="D59" i="31" s="1"/>
  <c r="C60" i="31"/>
  <c r="D60" i="31" s="1"/>
  <c r="C61" i="31"/>
  <c r="C62" i="31"/>
  <c r="D62" i="31" s="1"/>
  <c r="C63" i="31"/>
  <c r="D63" i="31" s="1"/>
  <c r="C64" i="31"/>
  <c r="D64" i="31" s="1"/>
  <c r="C65" i="31"/>
  <c r="D65" i="31" s="1"/>
  <c r="C66" i="31"/>
  <c r="D66" i="31" s="1"/>
  <c r="C67" i="31"/>
  <c r="C68" i="31"/>
  <c r="D68" i="31" s="1"/>
  <c r="C69" i="31"/>
  <c r="D69" i="31" s="1"/>
  <c r="C70" i="31"/>
  <c r="D70" i="31" s="1"/>
  <c r="C71" i="31"/>
  <c r="D71" i="31" s="1"/>
  <c r="C72" i="31"/>
  <c r="D72" i="31" s="1"/>
  <c r="C73" i="31"/>
  <c r="D73" i="31" s="1"/>
  <c r="C74" i="31"/>
  <c r="D74" i="31" s="1"/>
  <c r="C75" i="31"/>
  <c r="D75" i="31" s="1"/>
  <c r="C76" i="31"/>
  <c r="D76" i="31" s="1"/>
  <c r="C77" i="31"/>
  <c r="D77" i="31" s="1"/>
  <c r="C78" i="31"/>
  <c r="D78" i="31" s="1"/>
  <c r="C79" i="31"/>
  <c r="D79" i="31" s="1"/>
  <c r="C80" i="31"/>
  <c r="D80" i="31" s="1"/>
  <c r="C81" i="31"/>
  <c r="D81" i="31" s="1"/>
  <c r="C82" i="31"/>
  <c r="D82" i="31" s="1"/>
  <c r="C83" i="31"/>
  <c r="C84" i="31"/>
  <c r="C85" i="31"/>
  <c r="D85" i="31" s="1"/>
  <c r="C86" i="31"/>
  <c r="D86" i="31" s="1"/>
  <c r="C87" i="31"/>
  <c r="D87" i="31" s="1"/>
  <c r="C88" i="31"/>
  <c r="D88" i="31" s="1"/>
  <c r="C89" i="31"/>
  <c r="D89" i="31" s="1"/>
  <c r="C90" i="31"/>
  <c r="D90" i="31" s="1"/>
  <c r="C91" i="31"/>
  <c r="D91" i="31" s="1"/>
  <c r="C92" i="31"/>
  <c r="C93" i="31"/>
  <c r="C94" i="31"/>
  <c r="C95" i="31"/>
  <c r="C96" i="31"/>
  <c r="D96" i="31" s="1"/>
  <c r="C97" i="31"/>
  <c r="D97" i="31" s="1"/>
  <c r="C98" i="31"/>
  <c r="D98" i="31" s="1"/>
  <c r="C99" i="31"/>
  <c r="D99" i="31" s="1"/>
  <c r="C100" i="31"/>
  <c r="D100" i="31" s="1"/>
  <c r="C101" i="31"/>
  <c r="D101" i="31" s="1"/>
  <c r="C102" i="31"/>
  <c r="D102" i="31" s="1"/>
  <c r="C103" i="31"/>
  <c r="D103" i="31" s="1"/>
  <c r="C104" i="31"/>
  <c r="C105" i="31"/>
  <c r="C106" i="31"/>
  <c r="D106" i="31" s="1"/>
  <c r="C107" i="31"/>
  <c r="D107" i="31" s="1"/>
  <c r="C108" i="31"/>
  <c r="D108" i="31" s="1"/>
  <c r="C109" i="31"/>
  <c r="D109" i="31" s="1"/>
  <c r="C110" i="31"/>
  <c r="D110" i="31" s="1"/>
  <c r="C111" i="31"/>
  <c r="D111" i="31" s="1"/>
  <c r="C10" i="31"/>
  <c r="F111" i="31"/>
  <c r="B111" i="31"/>
  <c r="F110" i="31"/>
  <c r="B110" i="31"/>
  <c r="F109" i="31"/>
  <c r="B109" i="31"/>
  <c r="F108" i="31"/>
  <c r="B108" i="31"/>
  <c r="F107" i="31"/>
  <c r="B107" i="31"/>
  <c r="F106" i="31"/>
  <c r="B106" i="31"/>
  <c r="F105" i="31"/>
  <c r="B105" i="31"/>
  <c r="F104" i="31"/>
  <c r="B104" i="31"/>
  <c r="F103" i="31"/>
  <c r="B103" i="31"/>
  <c r="F102" i="31"/>
  <c r="B102" i="31"/>
  <c r="F101" i="31"/>
  <c r="B101" i="31"/>
  <c r="F100" i="31"/>
  <c r="B100" i="31"/>
  <c r="F99" i="31"/>
  <c r="B99" i="31"/>
  <c r="F98" i="31"/>
  <c r="B98" i="31"/>
  <c r="F97" i="31"/>
  <c r="B97" i="31"/>
  <c r="F96" i="31"/>
  <c r="B96" i="31"/>
  <c r="F95" i="31"/>
  <c r="B95" i="31"/>
  <c r="F94" i="31"/>
  <c r="B94" i="31"/>
  <c r="F93" i="31"/>
  <c r="B93" i="31"/>
  <c r="F92" i="31"/>
  <c r="B92" i="31"/>
  <c r="F91" i="31"/>
  <c r="B91" i="31"/>
  <c r="F90" i="31"/>
  <c r="B90" i="31"/>
  <c r="F89" i="31"/>
  <c r="B89" i="31"/>
  <c r="F88" i="31"/>
  <c r="B88" i="31"/>
  <c r="F87" i="31"/>
  <c r="B87" i="31"/>
  <c r="F86" i="31"/>
  <c r="B86" i="31"/>
  <c r="F85" i="31"/>
  <c r="B85" i="31"/>
  <c r="F84" i="31"/>
  <c r="B84" i="31"/>
  <c r="F83" i="31"/>
  <c r="B83" i="31"/>
  <c r="F82" i="31"/>
  <c r="B82" i="31"/>
  <c r="F81" i="31"/>
  <c r="B81" i="31"/>
  <c r="F80" i="31"/>
  <c r="B80" i="31"/>
  <c r="F79" i="31"/>
  <c r="B79" i="31"/>
  <c r="F78" i="31"/>
  <c r="B78" i="31"/>
  <c r="F77" i="31"/>
  <c r="B77" i="31"/>
  <c r="F76" i="31"/>
  <c r="B76" i="31"/>
  <c r="F75" i="31"/>
  <c r="B75" i="31"/>
  <c r="F74" i="31"/>
  <c r="B74" i="31"/>
  <c r="F73" i="31"/>
  <c r="B73" i="31"/>
  <c r="F72" i="31"/>
  <c r="B72" i="31"/>
  <c r="F71" i="31"/>
  <c r="B71" i="31"/>
  <c r="F70" i="31"/>
  <c r="B70" i="31"/>
  <c r="F69" i="31"/>
  <c r="B69" i="31"/>
  <c r="F68" i="31"/>
  <c r="B68" i="31"/>
  <c r="F67" i="31"/>
  <c r="B67" i="31"/>
  <c r="F66" i="31"/>
  <c r="B66" i="31"/>
  <c r="F65" i="31"/>
  <c r="B65" i="31"/>
  <c r="F64" i="31"/>
  <c r="B64" i="31"/>
  <c r="F63" i="31"/>
  <c r="B63" i="31"/>
  <c r="F62" i="31"/>
  <c r="B62" i="31"/>
  <c r="F61" i="31"/>
  <c r="B61" i="31"/>
  <c r="F60" i="31"/>
  <c r="B60" i="31"/>
  <c r="F59" i="31"/>
  <c r="B59" i="31"/>
  <c r="F58" i="31"/>
  <c r="B58" i="31"/>
  <c r="F57" i="31"/>
  <c r="B57" i="31"/>
  <c r="F56" i="31"/>
  <c r="B56" i="31"/>
  <c r="F55" i="31"/>
  <c r="B55" i="31"/>
  <c r="F54" i="31"/>
  <c r="B54" i="31"/>
  <c r="F53" i="31"/>
  <c r="B53" i="31"/>
  <c r="F52" i="31"/>
  <c r="B52" i="31"/>
  <c r="F51" i="31"/>
  <c r="B51" i="31"/>
  <c r="F50" i="31"/>
  <c r="B50" i="31"/>
  <c r="F49" i="31"/>
  <c r="B49" i="31"/>
  <c r="F48" i="31"/>
  <c r="B48" i="31"/>
  <c r="F47" i="31"/>
  <c r="B47" i="31"/>
  <c r="F46" i="31"/>
  <c r="B46" i="31"/>
  <c r="F45" i="31"/>
  <c r="B45" i="31"/>
  <c r="F44" i="31"/>
  <c r="B44" i="31"/>
  <c r="F43" i="31"/>
  <c r="B43" i="31"/>
  <c r="F42" i="31"/>
  <c r="B42" i="31"/>
  <c r="F41" i="31"/>
  <c r="B41" i="31"/>
  <c r="F40" i="31"/>
  <c r="B40" i="31"/>
  <c r="F39" i="31"/>
  <c r="B39" i="31"/>
  <c r="F38" i="31"/>
  <c r="B38" i="31"/>
  <c r="F37" i="31"/>
  <c r="B37" i="31"/>
  <c r="F36" i="31"/>
  <c r="B36" i="31"/>
  <c r="F35" i="31"/>
  <c r="B35" i="31"/>
  <c r="F34" i="31"/>
  <c r="B34" i="31"/>
  <c r="F33" i="31"/>
  <c r="B33" i="31"/>
  <c r="F32" i="31"/>
  <c r="B32" i="31"/>
  <c r="F31" i="31"/>
  <c r="B31" i="31"/>
  <c r="F30" i="31"/>
  <c r="B30" i="31"/>
  <c r="F29" i="31"/>
  <c r="B29" i="31"/>
  <c r="F28" i="31"/>
  <c r="B28" i="31"/>
  <c r="F27" i="31"/>
  <c r="B27" i="31"/>
  <c r="F26" i="31"/>
  <c r="B26" i="31"/>
  <c r="F25" i="31"/>
  <c r="B25" i="31"/>
  <c r="F24" i="31"/>
  <c r="B24" i="31"/>
  <c r="F23" i="31"/>
  <c r="B23" i="31"/>
  <c r="F22" i="31"/>
  <c r="B22" i="31"/>
  <c r="F21" i="31"/>
  <c r="B21" i="31"/>
  <c r="F20" i="31"/>
  <c r="B20" i="31"/>
  <c r="F19" i="31"/>
  <c r="B19" i="31"/>
  <c r="F18" i="31"/>
  <c r="B18" i="31"/>
  <c r="F17" i="31"/>
  <c r="B17" i="31"/>
  <c r="F16" i="31"/>
  <c r="B16" i="31"/>
  <c r="F15" i="31"/>
  <c r="B15" i="31"/>
  <c r="F14" i="31"/>
  <c r="B14" i="31"/>
  <c r="F13" i="31"/>
  <c r="B13" i="31"/>
  <c r="F12" i="31"/>
  <c r="B12" i="31"/>
  <c r="F11" i="31"/>
  <c r="B11" i="31"/>
  <c r="F10" i="31"/>
  <c r="B10" i="31"/>
  <c r="B7" i="31"/>
  <c r="D94" i="31" l="1"/>
  <c r="D105" i="31"/>
  <c r="D93" i="31"/>
  <c r="D61" i="31"/>
  <c r="D10" i="31"/>
  <c r="D104" i="31"/>
  <c r="D92" i="31"/>
  <c r="D84" i="31"/>
  <c r="D48" i="31"/>
  <c r="D95" i="31"/>
  <c r="D83" i="31"/>
  <c r="D67" i="31"/>
  <c r="D39" i="31"/>
  <c r="O9" i="30"/>
  <c r="O10" i="30"/>
  <c r="O11" i="30"/>
  <c r="O8" i="30"/>
  <c r="L91" i="30"/>
  <c r="I11" i="1" l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0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" i="1"/>
  <c r="H12" i="1"/>
  <c r="H13" i="1"/>
  <c r="H14" i="1"/>
  <c r="H15" i="1"/>
  <c r="H16" i="1"/>
  <c r="H17" i="1"/>
  <c r="H18" i="1"/>
  <c r="H10" i="1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10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11" i="13"/>
  <c r="E12" i="13"/>
  <c r="E13" i="13"/>
  <c r="E14" i="13"/>
  <c r="E15" i="13"/>
  <c r="E16" i="13"/>
  <c r="E17" i="13"/>
  <c r="E18" i="13"/>
  <c r="E19" i="13"/>
  <c r="E10" i="13"/>
  <c r="J10" i="1" l="1"/>
  <c r="J104" i="1"/>
  <c r="J96" i="1"/>
  <c r="J92" i="1"/>
  <c r="J84" i="1"/>
  <c r="J48" i="1"/>
  <c r="J64" i="1"/>
  <c r="J60" i="1"/>
  <c r="J56" i="1"/>
  <c r="J52" i="1"/>
  <c r="J44" i="1"/>
  <c r="J40" i="1"/>
  <c r="J36" i="1"/>
  <c r="J32" i="1"/>
  <c r="J28" i="1"/>
  <c r="J24" i="1"/>
  <c r="J20" i="1"/>
  <c r="J16" i="1"/>
  <c r="J12" i="1"/>
  <c r="J108" i="1"/>
  <c r="J100" i="1"/>
  <c r="J88" i="1"/>
  <c r="J80" i="1"/>
  <c r="J76" i="1"/>
  <c r="J72" i="1"/>
  <c r="J68" i="1"/>
  <c r="J109" i="1"/>
  <c r="J105" i="1"/>
  <c r="J101" i="1"/>
  <c r="J97" i="1"/>
  <c r="J93" i="1"/>
  <c r="J89" i="1"/>
  <c r="J85" i="1"/>
  <c r="J81" i="1"/>
  <c r="J77" i="1"/>
  <c r="J73" i="1"/>
  <c r="J69" i="1"/>
  <c r="J65" i="1"/>
  <c r="J61" i="1"/>
  <c r="J57" i="1"/>
  <c r="J53" i="1"/>
  <c r="J49" i="1"/>
  <c r="J45" i="1"/>
  <c r="J41" i="1"/>
  <c r="J37" i="1"/>
  <c r="J33" i="1"/>
  <c r="J29" i="1"/>
  <c r="J25" i="1"/>
  <c r="J21" i="1"/>
  <c r="J17" i="1"/>
  <c r="J13" i="1"/>
  <c r="J15" i="1"/>
  <c r="J11" i="1"/>
  <c r="J111" i="1"/>
  <c r="J103" i="1"/>
  <c r="J95" i="1"/>
  <c r="J87" i="1"/>
  <c r="J79" i="1"/>
  <c r="J71" i="1"/>
  <c r="J55" i="1"/>
  <c r="J107" i="1"/>
  <c r="J99" i="1"/>
  <c r="J91" i="1"/>
  <c r="J83" i="1"/>
  <c r="J75" i="1"/>
  <c r="J67" i="1"/>
  <c r="J63" i="1"/>
  <c r="J59" i="1"/>
  <c r="J51" i="1"/>
  <c r="J47" i="1"/>
  <c r="J43" i="1"/>
  <c r="J39" i="1"/>
  <c r="J35" i="1"/>
  <c r="J31" i="1"/>
  <c r="J27" i="1"/>
  <c r="J23" i="1"/>
  <c r="J19" i="1"/>
  <c r="J110" i="1"/>
  <c r="J106" i="1"/>
  <c r="J102" i="1"/>
  <c r="J98" i="1"/>
  <c r="J94" i="1"/>
  <c r="J90" i="1"/>
  <c r="J86" i="1"/>
  <c r="J82" i="1"/>
  <c r="J78" i="1"/>
  <c r="J74" i="1"/>
  <c r="J70" i="1"/>
  <c r="J66" i="1"/>
  <c r="J62" i="1"/>
  <c r="J58" i="1"/>
  <c r="J54" i="1"/>
  <c r="J50" i="1"/>
  <c r="J46" i="1"/>
  <c r="J42" i="1"/>
  <c r="J38" i="1"/>
  <c r="J34" i="1"/>
  <c r="J30" i="1"/>
  <c r="J26" i="1"/>
  <c r="J22" i="1"/>
  <c r="J18" i="1"/>
  <c r="J14" i="1"/>
  <c r="E9" i="30"/>
  <c r="E8" i="30"/>
  <c r="E60" i="30"/>
  <c r="E42" i="30"/>
  <c r="E41" i="30"/>
  <c r="E12" i="30"/>
  <c r="J11" i="30" s="1"/>
  <c r="E83" i="30"/>
  <c r="E89" i="30"/>
  <c r="E86" i="30"/>
  <c r="E85" i="30"/>
  <c r="E33" i="30"/>
  <c r="E32" i="30"/>
  <c r="E59" i="30"/>
  <c r="E58" i="30"/>
  <c r="E57" i="30"/>
  <c r="E40" i="30"/>
  <c r="E39" i="30"/>
  <c r="E20" i="30"/>
  <c r="E88" i="30"/>
  <c r="E48" i="30"/>
  <c r="E31" i="30"/>
  <c r="E29" i="30"/>
  <c r="E30" i="30"/>
  <c r="E11" i="30"/>
  <c r="J10" i="30" s="1"/>
  <c r="E77" i="30"/>
  <c r="E76" i="30"/>
  <c r="E75" i="30"/>
  <c r="E87" i="30"/>
  <c r="E78" i="30"/>
  <c r="E24" i="30"/>
  <c r="E25" i="30"/>
  <c r="E26" i="30"/>
  <c r="E54" i="30"/>
  <c r="E56" i="30"/>
  <c r="E55" i="30"/>
  <c r="E51" i="30"/>
  <c r="E53" i="30"/>
  <c r="E52" i="30"/>
  <c r="E37" i="30"/>
  <c r="E15" i="30"/>
  <c r="E14" i="30"/>
  <c r="J13" i="30" s="1"/>
  <c r="E73" i="30"/>
  <c r="E72" i="30"/>
  <c r="E74" i="30"/>
  <c r="E71" i="30"/>
  <c r="E70" i="30"/>
  <c r="E45" i="30"/>
  <c r="E44" i="30"/>
  <c r="E23" i="30"/>
  <c r="E22" i="30"/>
  <c r="E38" i="30"/>
  <c r="E17" i="30"/>
  <c r="E19" i="30"/>
  <c r="E16" i="30"/>
  <c r="E18" i="30"/>
  <c r="E82" i="30"/>
  <c r="E84" i="30"/>
  <c r="E81" i="30"/>
  <c r="E47" i="30"/>
  <c r="E28" i="30"/>
  <c r="E49" i="30"/>
  <c r="E50" i="30"/>
  <c r="E34" i="30"/>
  <c r="E35" i="30"/>
  <c r="E36" i="30"/>
  <c r="E13" i="30"/>
  <c r="J12" i="30" s="1"/>
  <c r="E10" i="30"/>
  <c r="J9" i="30" s="1"/>
  <c r="E64" i="30"/>
  <c r="E63" i="30"/>
  <c r="E65" i="30"/>
  <c r="E62" i="30"/>
  <c r="E69" i="30"/>
  <c r="E67" i="30"/>
  <c r="E68" i="30"/>
  <c r="E61" i="30"/>
  <c r="E66" i="30"/>
  <c r="E43" i="30"/>
  <c r="E21" i="30"/>
  <c r="E80" i="30"/>
  <c r="E79" i="30"/>
  <c r="E46" i="30"/>
  <c r="E27" i="30"/>
  <c r="J14" i="30" l="1"/>
  <c r="J8" i="30"/>
  <c r="Q20" i="29"/>
  <c r="P20" i="29"/>
  <c r="O20" i="29"/>
  <c r="M20" i="29"/>
  <c r="L20" i="29"/>
  <c r="K20" i="29"/>
  <c r="I20" i="29"/>
  <c r="H20" i="29"/>
  <c r="G20" i="29"/>
  <c r="E20" i="29"/>
  <c r="D20" i="29"/>
  <c r="C20" i="29"/>
  <c r="R19" i="29"/>
  <c r="R18" i="29"/>
  <c r="R17" i="29"/>
  <c r="Q15" i="29"/>
  <c r="P15" i="29"/>
  <c r="O15" i="29"/>
  <c r="M15" i="29"/>
  <c r="L15" i="29"/>
  <c r="K15" i="29"/>
  <c r="I15" i="29"/>
  <c r="H15" i="29"/>
  <c r="G15" i="29"/>
  <c r="E15" i="29"/>
  <c r="D15" i="29"/>
  <c r="C15" i="29"/>
  <c r="R14" i="29"/>
  <c r="R13" i="29"/>
  <c r="R12" i="29"/>
  <c r="Q10" i="29"/>
  <c r="P10" i="29"/>
  <c r="O10" i="29"/>
  <c r="M10" i="29"/>
  <c r="L10" i="29"/>
  <c r="K10" i="29"/>
  <c r="I10" i="29"/>
  <c r="H10" i="29"/>
  <c r="G10" i="29"/>
  <c r="E10" i="29"/>
  <c r="D10" i="29"/>
  <c r="C10" i="29"/>
  <c r="R9" i="29"/>
  <c r="N9" i="29"/>
  <c r="J9" i="29"/>
  <c r="F9" i="29"/>
  <c r="R8" i="29"/>
  <c r="N8" i="29"/>
  <c r="J8" i="29"/>
  <c r="F8" i="29"/>
  <c r="R7" i="29"/>
  <c r="N7" i="29"/>
  <c r="J7" i="29"/>
  <c r="F7" i="29"/>
  <c r="F10" i="29" l="1"/>
  <c r="E21" i="29"/>
  <c r="P21" i="29"/>
  <c r="R15" i="29"/>
  <c r="D21" i="29"/>
  <c r="O21" i="29"/>
  <c r="R20" i="29"/>
  <c r="J10" i="29"/>
  <c r="J12" i="29" s="1"/>
  <c r="J13" i="29" s="1"/>
  <c r="S8" i="29"/>
  <c r="H21" i="29"/>
  <c r="I21" i="29"/>
  <c r="K21" i="29"/>
  <c r="S7" i="29"/>
  <c r="S9" i="29"/>
  <c r="L21" i="29"/>
  <c r="G21" i="29"/>
  <c r="C21" i="29"/>
  <c r="M21" i="29"/>
  <c r="Q21" i="29"/>
  <c r="N10" i="29"/>
  <c r="N12" i="29" s="1"/>
  <c r="F12" i="29"/>
  <c r="F13" i="29" s="1"/>
  <c r="R10" i="29"/>
  <c r="J14" i="29" l="1"/>
  <c r="J15" i="29" s="1"/>
  <c r="S12" i="29"/>
  <c r="R21" i="29"/>
  <c r="S10" i="29"/>
  <c r="N13" i="29"/>
  <c r="S13" i="29" s="1"/>
  <c r="F14" i="29"/>
  <c r="N14" i="29" l="1"/>
  <c r="F15" i="29"/>
  <c r="J17" i="29"/>
  <c r="J18" i="29" l="1"/>
  <c r="J19" i="29" s="1"/>
  <c r="J20" i="29" s="1"/>
  <c r="J21" i="29" s="1"/>
  <c r="F17" i="29"/>
  <c r="F18" i="29" s="1"/>
  <c r="S14" i="29"/>
  <c r="N15" i="29"/>
  <c r="N17" i="29" s="1"/>
  <c r="E65" i="25"/>
  <c r="D65" i="25"/>
  <c r="E67" i="25" s="1"/>
  <c r="F19" i="29" l="1"/>
  <c r="F20" i="29" s="1"/>
  <c r="F21" i="29" s="1"/>
  <c r="N18" i="29"/>
  <c r="S18" i="29" s="1"/>
  <c r="S15" i="29"/>
  <c r="S17" i="29"/>
  <c r="E7" i="13"/>
  <c r="B7" i="8"/>
  <c r="N19" i="29" l="1"/>
  <c r="S19" i="29" s="1"/>
  <c r="N20" i="29" l="1"/>
  <c r="S20" i="29" l="1"/>
  <c r="N21" i="29"/>
  <c r="S21" i="29" s="1"/>
</calcChain>
</file>

<file path=xl/sharedStrings.xml><?xml version="1.0" encoding="utf-8"?>
<sst xmlns="http://schemas.openxmlformats.org/spreadsheetml/2006/main" count="1604" uniqueCount="246">
  <si>
    <t>Date</t>
  </si>
  <si>
    <t>From</t>
  </si>
  <si>
    <t>To</t>
  </si>
  <si>
    <t>Total Pay</t>
  </si>
  <si>
    <t>Total Hours</t>
  </si>
  <si>
    <t>Employee Code</t>
  </si>
  <si>
    <t>Name</t>
  </si>
  <si>
    <t>Specialty</t>
  </si>
  <si>
    <t>Charles Morton</t>
  </si>
  <si>
    <t>Allison Ives</t>
  </si>
  <si>
    <t>Jackson Lin</t>
  </si>
  <si>
    <t>Rodrigo Alvarez</t>
  </si>
  <si>
    <t>Arthur Reilly</t>
  </si>
  <si>
    <t>Jordan Hill</t>
  </si>
  <si>
    <t>Susanne Foster</t>
  </si>
  <si>
    <t>Scott Dilworth</t>
  </si>
  <si>
    <t>Kate Emerson</t>
  </si>
  <si>
    <t>Lori Anderson</t>
  </si>
  <si>
    <t>Eric Stokes</t>
  </si>
  <si>
    <t>Sarah Heller</t>
  </si>
  <si>
    <t>Carol Johnson</t>
  </si>
  <si>
    <t>Kevin McCallum</t>
  </si>
  <si>
    <t>James Hartigan</t>
  </si>
  <si>
    <t>Thomas Hoffman</t>
  </si>
  <si>
    <t>Bryan Fowler</t>
  </si>
  <si>
    <t>Elizabeth Roy</t>
  </si>
  <si>
    <t>Nadine Smith</t>
  </si>
  <si>
    <t>John Pane</t>
  </si>
  <si>
    <t>John O'Donnell</t>
  </si>
  <si>
    <t>Far Wen</t>
  </si>
  <si>
    <t>Carolyn Roxby</t>
  </si>
  <si>
    <t>Angela Garcia</t>
  </si>
  <si>
    <t>Tiffany Rifkin</t>
  </si>
  <si>
    <t>Sam Carver</t>
  </si>
  <si>
    <t>Everett Ko</t>
  </si>
  <si>
    <t>Norman Hardison</t>
  </si>
  <si>
    <t>Pamela Buncombe</t>
  </si>
  <si>
    <t>Ardis Foxworth</t>
  </si>
  <si>
    <t>Bob Brickey</t>
  </si>
  <si>
    <t>Casper Johnson</t>
  </si>
  <si>
    <t>Steven Galloway</t>
  </si>
  <si>
    <t>Peter Walton</t>
  </si>
  <si>
    <t>Linda Huff</t>
  </si>
  <si>
    <t>Gary Seamans</t>
  </si>
  <si>
    <t>Jose Naron</t>
  </si>
  <si>
    <t>Anne Neville</t>
  </si>
  <si>
    <t>Terri Rorick</t>
  </si>
  <si>
    <t>Renee Kringle</t>
  </si>
  <si>
    <t>Specialty Code</t>
  </si>
  <si>
    <t>Hourly Rate</t>
  </si>
  <si>
    <t>Client Code</t>
  </si>
  <si>
    <t>Client Name</t>
  </si>
  <si>
    <t>Specialty Name</t>
  </si>
  <si>
    <t>W3</t>
  </si>
  <si>
    <t>W4</t>
  </si>
  <si>
    <t>W8</t>
  </si>
  <si>
    <t>City of Morton, NC</t>
  </si>
  <si>
    <t>Wardell, Mingus, and Krenshaw</t>
  </si>
  <si>
    <t>School of the Environment</t>
  </si>
  <si>
    <t>Marshall Furniture</t>
  </si>
  <si>
    <t>Tandy's, Inc.</t>
  </si>
  <si>
    <t>Renfrow Printers &amp; Publishers</t>
  </si>
  <si>
    <t>Mallard &amp; Hernandez, Inc.</t>
  </si>
  <si>
    <t>Sanford Booksellers, Ltd.</t>
  </si>
  <si>
    <t>Rodriguez Catering</t>
  </si>
  <si>
    <t>Mack's Moving &amp; Storage</t>
  </si>
  <si>
    <t>Employee Name</t>
  </si>
  <si>
    <t>C30</t>
  </si>
  <si>
    <t>C40</t>
  </si>
  <si>
    <t>C50</t>
  </si>
  <si>
    <t>C60</t>
  </si>
  <si>
    <t>C70</t>
  </si>
  <si>
    <t>C80</t>
  </si>
  <si>
    <t>C90</t>
  </si>
  <si>
    <t>C10</t>
  </si>
  <si>
    <t>C20</t>
  </si>
  <si>
    <t>C15</t>
  </si>
  <si>
    <t>First Name</t>
  </si>
  <si>
    <t>Last Name</t>
  </si>
  <si>
    <t xml:space="preserve">Worksheets: </t>
  </si>
  <si>
    <t>Table name: Clients</t>
  </si>
  <si>
    <t>Table name: Employees</t>
  </si>
  <si>
    <t>Client Region</t>
  </si>
  <si>
    <t>Total Sales</t>
  </si>
  <si>
    <t>West</t>
  </si>
  <si>
    <t>East</t>
  </si>
  <si>
    <t xml:space="preserve">    Find out in increments of 10 how many periods the stock gave returns</t>
  </si>
  <si>
    <t xml:space="preserve">    between the lowest (-26.6) and highest (19.2) values using Excel's</t>
  </si>
  <si>
    <t xml:space="preserve">    FREQUENCY array function.</t>
  </si>
  <si>
    <t>Returns</t>
  </si>
  <si>
    <t>Season</t>
  </si>
  <si>
    <t>Year</t>
  </si>
  <si>
    <t>Type</t>
  </si>
  <si>
    <t>State</t>
  </si>
  <si>
    <t>Sales $</t>
  </si>
  <si>
    <t>Fall</t>
  </si>
  <si>
    <t>Amber Ale</t>
  </si>
  <si>
    <t>California</t>
  </si>
  <si>
    <t>Hefeweizen</t>
  </si>
  <si>
    <t>Pale Ale</t>
  </si>
  <si>
    <t>Pilsner</t>
  </si>
  <si>
    <t>Porter</t>
  </si>
  <si>
    <t>Stout</t>
  </si>
  <si>
    <t>Oregon</t>
  </si>
  <si>
    <t>Washington</t>
  </si>
  <si>
    <t>Spring</t>
  </si>
  <si>
    <t>Summer</t>
  </si>
  <si>
    <t>Winter</t>
  </si>
  <si>
    <t xml:space="preserve">Task 1-Contract Work </t>
  </si>
  <si>
    <t xml:space="preserve">Task 2-Total Pay Report </t>
  </si>
  <si>
    <t>Task 3-Employee Name Report</t>
  </si>
  <si>
    <t>Task 2: Complete the Total Pay Report</t>
  </si>
  <si>
    <t>Task 1: Complete the Work Records</t>
  </si>
  <si>
    <t>Task 3: Complete the Employee Name Report</t>
  </si>
  <si>
    <t>Tables (for Tasks 1 and 2)</t>
  </si>
  <si>
    <r>
      <t xml:space="preserve">Tables </t>
    </r>
    <r>
      <rPr>
        <i/>
        <sz val="11"/>
        <rFont val="Arial"/>
        <family val="2"/>
      </rPr>
      <t>(for Tasks 1 and 2)</t>
    </r>
  </si>
  <si>
    <t>Task 4: Summarize Sales</t>
  </si>
  <si>
    <t>Task 4-Summarize Sales</t>
  </si>
  <si>
    <t>Billable Hours</t>
  </si>
  <si>
    <t>Oglethorpe Riding Mowers</t>
  </si>
  <si>
    <t>South</t>
  </si>
  <si>
    <t>Robinett's Strip Malls</t>
  </si>
  <si>
    <t xml:space="preserve">Mulberry Electronics </t>
  </si>
  <si>
    <t>North</t>
  </si>
  <si>
    <t>Lester Redevelopment Inc.</t>
  </si>
  <si>
    <t xml:space="preserve">All Things Surf </t>
  </si>
  <si>
    <t>Second Best Buys</t>
  </si>
  <si>
    <t>Trend Advisors</t>
  </si>
  <si>
    <t>Silicon Ventures</t>
  </si>
  <si>
    <t xml:space="preserve">Task 5-Analyze Stock Returns </t>
  </si>
  <si>
    <t>Task 5: Analyze Stock Returns</t>
  </si>
  <si>
    <t>Database</t>
  </si>
  <si>
    <t xml:space="preserve">       Contract Work Records</t>
  </si>
  <si>
    <t xml:space="preserve">     Master data ranges</t>
  </si>
  <si>
    <t>Scoring Guide - For your information only. Details on how your work is scored.</t>
  </si>
  <si>
    <t>Task/Technique</t>
  </si>
  <si>
    <t>Possible Points</t>
  </si>
  <si>
    <t>Points Deducted</t>
  </si>
  <si>
    <t>Grader Notes</t>
  </si>
  <si>
    <t xml:space="preserve">    - Total Hours formulas and results correct.</t>
  </si>
  <si>
    <t xml:space="preserve">    - Hourly Rate formulas (lookup) and results correct.</t>
  </si>
  <si>
    <t xml:space="preserve">    - Total Pay formulas and results correct.</t>
  </si>
  <si>
    <t>Note: Original record order changed by subsequent</t>
  </si>
  <si>
    <t>tasks. This is to be expected.</t>
  </si>
  <si>
    <t xml:space="preserve">    - All six report columns contain appropriate data.</t>
  </si>
  <si>
    <t xml:space="preserve">    - Total pay is summed for each employee.</t>
  </si>
  <si>
    <t xml:space="preserve">    - First names in first-name column of the report.</t>
  </si>
  <si>
    <t xml:space="preserve">    - Last names in last-name column of the report.</t>
  </si>
  <si>
    <t>Task 4: Summarize Sales &amp; Hours</t>
  </si>
  <si>
    <t>When displayed in outline level 3 (or 4)</t>
  </si>
  <si>
    <t xml:space="preserve">    - Sales are totaled by client region (N, S, E, W).</t>
  </si>
  <si>
    <t xml:space="preserve">    - Hours are totaled by client name.</t>
  </si>
  <si>
    <t xml:space="preserve">    - Bin values of -30 to 20 as described.</t>
  </si>
  <si>
    <t xml:space="preserve">    - # of monthly returns values are an array.</t>
  </si>
  <si>
    <t xml:space="preserve">    - # of monthly returns are correct.</t>
  </si>
  <si>
    <t xml:space="preserve">    - View 1: Row = State , Column = Year , Data =  </t>
  </si>
  <si>
    <t xml:space="preserve">      Sum of Sales $.</t>
  </si>
  <si>
    <t xml:space="preserve">      Grand Totals for Columns only (not rows); Year 2006.</t>
  </si>
  <si>
    <t xml:space="preserve">    - View 2: Row = Type, Column = state, Page = Year and</t>
  </si>
  <si>
    <t xml:space="preserve">      Season, Data = Average of Sales $.</t>
  </si>
  <si>
    <t xml:space="preserve">      Grand Totals for both Rows and Columns.</t>
  </si>
  <si>
    <t xml:space="preserve">    - View 3: Row = Year as outer and Season as inner,</t>
  </si>
  <si>
    <t xml:space="preserve">      Column = State w/only CA and WA data shown.</t>
  </si>
  <si>
    <t xml:space="preserve">      Data = Sum and Average of Sales $.</t>
  </si>
  <si>
    <t xml:space="preserve">      Only 2005 data, no Year subtotals, No Grand Totals.</t>
  </si>
  <si>
    <t xml:space="preserve">    - View 4: No Row field, Column = Type, Data = Sum of</t>
  </si>
  <si>
    <t xml:space="preserve">      Sales $, Page field = Season.</t>
  </si>
  <si>
    <r>
      <t xml:space="preserve">       Pilsner and Stout shown for Winter </t>
    </r>
    <r>
      <rPr>
        <b/>
        <sz val="10"/>
        <rFont val="Arial"/>
        <family val="2"/>
      </rPr>
      <t>OR</t>
    </r>
  </si>
  <si>
    <r>
      <t xml:space="preserve">            Pilsner, Porter, </t>
    </r>
    <r>
      <rPr>
        <b/>
        <sz val="10"/>
        <rFont val="Arial"/>
        <family val="2"/>
      </rPr>
      <t>AND Stout</t>
    </r>
    <r>
      <rPr>
        <sz val="10"/>
        <rFont val="Arial"/>
        <family val="2"/>
      </rPr>
      <t xml:space="preserve"> shown for Winter.</t>
    </r>
  </si>
  <si>
    <r>
      <rPr>
        <b/>
        <sz val="12"/>
        <color rgb="FF002060"/>
        <rFont val="Arial"/>
        <family val="2"/>
      </rPr>
      <t>Possible</t>
    </r>
    <r>
      <rPr>
        <b/>
        <sz val="12"/>
        <rFont val="Arial"/>
        <family val="2"/>
      </rPr>
      <t>/</t>
    </r>
    <r>
      <rPr>
        <b/>
        <sz val="12"/>
        <color rgb="FFFF0000"/>
        <rFont val="Arial"/>
        <family val="2"/>
      </rPr>
      <t>Deducted</t>
    </r>
    <r>
      <rPr>
        <b/>
        <sz val="12"/>
        <rFont val="Arial"/>
        <family val="2"/>
      </rPr>
      <t xml:space="preserve"> Points:</t>
    </r>
  </si>
  <si>
    <t>Scoring guide - for your information only. Details on how your work is scored.</t>
  </si>
  <si>
    <t>Task 6-Outlining</t>
  </si>
  <si>
    <t>Task 8-Pivot Tables</t>
  </si>
  <si>
    <t xml:space="preserve">Task 8: Pivot Table </t>
  </si>
  <si>
    <t>Task 6: Basic Outlining</t>
  </si>
  <si>
    <t>Task 7: A Data Validation Application</t>
  </si>
  <si>
    <t>Quarter 1</t>
  </si>
  <si>
    <t>Quarter 2</t>
  </si>
  <si>
    <t>Quarter 3</t>
  </si>
  <si>
    <t>Quarter 4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</si>
  <si>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</si>
  <si>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</si>
  <si>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</si>
  <si>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</si>
  <si>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</si>
  <si>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</si>
  <si>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</si>
  <si>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</si>
  <si>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</si>
  <si>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</si>
  <si>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</si>
  <si>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</si>
  <si>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Corporate Sales</t>
  </si>
  <si>
    <t>Residential Sales</t>
  </si>
  <si>
    <t>Walk-in Sales</t>
  </si>
  <si>
    <t>Grand Total</t>
  </si>
  <si>
    <t>West Total</t>
  </si>
  <si>
    <t>Ohio</t>
  </si>
  <si>
    <t>Iowa</t>
  </si>
  <si>
    <t>Illinois</t>
  </si>
  <si>
    <t>Mid Total</t>
  </si>
  <si>
    <t>North Carolina</t>
  </si>
  <si>
    <t>Georgia</t>
  </si>
  <si>
    <t>Virginia</t>
  </si>
  <si>
    <t>South Total</t>
  </si>
  <si>
    <t>Task 6: Outlining</t>
  </si>
  <si>
    <t>Task 7: Data Validation and Conditional Formats</t>
  </si>
  <si>
    <t>Task 8: Create Four Pivot Table Views</t>
  </si>
  <si>
    <t xml:space="preserve">   - Outline shows the most summarized view.</t>
  </si>
  <si>
    <t xml:space="preserve">    - "Select a criterion" drop-down shows number options.</t>
  </si>
  <si>
    <t xml:space="preserve">    - Drop-down controls display of green shading</t>
  </si>
  <si>
    <t xml:space="preserve">      in cells in the data range.</t>
  </si>
  <si>
    <t xml:space="preserve">   - Data in Excel outline form.</t>
  </si>
  <si>
    <t>Select a criterion:</t>
  </si>
  <si>
    <t>Work Area</t>
  </si>
  <si>
    <t>Hands on: Managing Data</t>
  </si>
  <si>
    <t>Mogul Cell Phones</t>
  </si>
  <si>
    <t>Table name: Work_Codes</t>
  </si>
  <si>
    <t>Managing Data with Excel Scoring Guide</t>
  </si>
  <si>
    <t>Late points (if any)</t>
  </si>
  <si>
    <t>1 point per late day is deducted from the total score.</t>
  </si>
  <si>
    <t>Points Earned:</t>
  </si>
  <si>
    <t xml:space="preserve">Task 7-Data Validation </t>
  </si>
  <si>
    <t>Task 5: Analyze Stock Returns (Bonus)</t>
  </si>
  <si>
    <t>Bin Values</t>
  </si>
  <si>
    <t>Column Labels</t>
  </si>
  <si>
    <t>Sum of Sales $</t>
  </si>
  <si>
    <t xml:space="preserve"> </t>
  </si>
  <si>
    <t xml:space="preserve">Clients Billable Hours Summary
</t>
  </si>
  <si>
    <t xml:space="preserve">Regions Total Sales Summary
</t>
  </si>
  <si>
    <t>Average of Sales $</t>
  </si>
  <si>
    <t>Speciality</t>
  </si>
  <si>
    <t>Name Confirmed</t>
  </si>
  <si>
    <t>Charles Morton Total</t>
  </si>
  <si>
    <t>Carol Johnson Total</t>
  </si>
  <si>
    <t>Thomas Hoffman Total</t>
  </si>
  <si>
    <t>Nadine Smith Total</t>
  </si>
  <si>
    <t>Far Wen Total</t>
  </si>
  <si>
    <t>Bob Brickey Total</t>
  </si>
  <si>
    <t>Peter Walton Total</t>
  </si>
  <si>
    <t>Jose Naron Total</t>
  </si>
  <si>
    <t>East Total</t>
  </si>
  <si>
    <t>North Total</t>
  </si>
  <si>
    <t>Region</t>
  </si>
  <si>
    <t>Values</t>
  </si>
  <si>
    <t>Average of Sales 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</si>
</sst>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  <numFmt numFmtId="166" formatCode="mmmm\ d\,\ yyyy"/>
    <numFmt numFmtId="167" formatCode="[$-409]h:mm\ AM/PM;@"/>
    <numFmt numFmtId="168" formatCode="mm/dd/yy;@"/>
    <numFmt numFmtId="169" formatCode="[$-409]mmmm\ d\,\ yyyy;@"/>
    <numFmt numFmtId="170" formatCode="[$$-409]#,##0.00"/>
    <numFmt numFmtId="171" formatCode="\$#,##0;\(\$#,##0\);\$#,##0"/>
  </numFmts>
  <fonts count="43" x14ac:knownFonts="1">
    <font>
      <sz val="11"/>
      <name val="Arial"/>
    </font>
    <font>
      <sz val="11"/>
      <name val="Arial"/>
      <family val="2"/>
    </font>
    <font>
      <b/>
      <sz val="20"/>
      <color indexed="10"/>
      <name val="Trebuchet MS"/>
      <family val="2"/>
    </font>
    <font>
      <sz val="11"/>
      <name val="Trebuchet MS"/>
      <family val="2"/>
    </font>
    <font>
      <b/>
      <sz val="11"/>
      <name val="Trebuchet MS"/>
      <family val="2"/>
    </font>
    <font>
      <b/>
      <sz val="12"/>
      <color indexed="8"/>
      <name val="Trebuchet MS"/>
      <family val="2"/>
    </font>
    <font>
      <sz val="16"/>
      <color indexed="10"/>
      <name val="Trebuchet MS"/>
      <family val="2"/>
    </font>
    <font>
      <sz val="10"/>
      <name val="Trebuchet MS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20"/>
      <color indexed="18"/>
      <name val="Trebuchet MS"/>
      <family val="2"/>
    </font>
    <font>
      <sz val="11"/>
      <name val="Arial"/>
      <family val="2"/>
    </font>
    <font>
      <b/>
      <sz val="12"/>
      <color indexed="54"/>
      <name val="Arial"/>
      <family val="2"/>
    </font>
    <font>
      <b/>
      <sz val="16"/>
      <color indexed="54"/>
      <name val="Arial"/>
      <family val="2"/>
    </font>
    <font>
      <b/>
      <sz val="12"/>
      <color indexed="8"/>
      <name val="Arial"/>
      <family val="2"/>
    </font>
    <font>
      <b/>
      <sz val="11"/>
      <color indexed="18"/>
      <name val="Arial"/>
      <family val="2"/>
    </font>
    <font>
      <b/>
      <sz val="14"/>
      <color indexed="62"/>
      <name val="Arial"/>
      <family val="2"/>
    </font>
    <font>
      <sz val="12"/>
      <name val="Arial"/>
      <family val="2"/>
    </font>
    <font>
      <b/>
      <sz val="12"/>
      <color indexed="62"/>
      <name val="Arial"/>
      <family val="2"/>
    </font>
    <font>
      <i/>
      <sz val="11"/>
      <name val="Arial"/>
      <family val="2"/>
    </font>
    <font>
      <b/>
      <sz val="20"/>
      <color indexed="10"/>
      <name val="Arial"/>
      <family val="2"/>
    </font>
    <font>
      <b/>
      <sz val="11"/>
      <color theme="0"/>
      <name val="Arial"/>
      <family val="2"/>
    </font>
    <font>
      <i/>
      <sz val="12"/>
      <color indexed="8"/>
      <name val="Arial"/>
      <family val="2"/>
    </font>
    <font>
      <b/>
      <sz val="11"/>
      <color theme="0"/>
      <name val="Trebuchet MS"/>
      <family val="2"/>
    </font>
    <font>
      <i/>
      <sz val="12"/>
      <name val="Book Antiqua"/>
      <family val="1"/>
    </font>
    <font>
      <b/>
      <u/>
      <sz val="10"/>
      <color rgb="FF002060"/>
      <name val="Arial"/>
      <family val="2"/>
    </font>
    <font>
      <b/>
      <sz val="10"/>
      <color rgb="FFFF0000"/>
      <name val="Arial"/>
      <family val="2"/>
    </font>
    <font>
      <b/>
      <sz val="10"/>
      <color rgb="FF008000"/>
      <name val="Arial"/>
      <family val="2"/>
    </font>
    <font>
      <u/>
      <sz val="10"/>
      <name val="Arial"/>
      <family val="2"/>
    </font>
    <font>
      <b/>
      <sz val="12"/>
      <name val="Arial"/>
      <family val="2"/>
    </font>
    <font>
      <b/>
      <sz val="12"/>
      <color rgb="FF002060"/>
      <name val="Arial"/>
      <family val="2"/>
    </font>
    <font>
      <b/>
      <sz val="12"/>
      <color rgb="FFFF0000"/>
      <name val="Arial"/>
      <family val="2"/>
    </font>
    <font>
      <b/>
      <sz val="11"/>
      <name val="Arial"/>
      <family val="2"/>
    </font>
    <font>
      <b/>
      <sz val="11"/>
      <color theme="0" tint="-0.499984740745262"/>
      <name val="Arial"/>
      <family val="2"/>
    </font>
    <font>
      <b/>
      <sz val="18"/>
      <color indexed="62"/>
      <name val="Arial"/>
      <family val="2"/>
    </font>
    <font>
      <b/>
      <sz val="18"/>
      <color indexed="62"/>
      <name val="Trebuchet MS"/>
      <family val="2"/>
    </font>
    <font>
      <b/>
      <sz val="18"/>
      <color indexed="21"/>
      <name val="Trebuchet MS"/>
      <family val="2"/>
    </font>
    <font>
      <sz val="11"/>
      <color indexed="10"/>
      <name val="Arial"/>
      <family val="2"/>
    </font>
    <font>
      <i/>
      <sz val="10"/>
      <name val="Arial"/>
      <family val="2"/>
    </font>
    <font>
      <b/>
      <i/>
      <sz val="14"/>
      <color theme="0"/>
      <name val="Book Antiqua"/>
      <family val="1"/>
    </font>
    <font>
      <b/>
      <sz val="14"/>
      <color indexed="1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</cellStyleXfs>
  <cellXfs count="224">
    <xf numFmtId="0" fontId="0" fillId="0" borderId="0" xfId="0"/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3" fillId="0" borderId="0" xfId="0" applyFont="1"/>
    <xf numFmtId="166" fontId="3" fillId="0" borderId="0" xfId="0" applyNumberFormat="1" applyFont="1" applyBorder="1" applyAlignment="1">
      <alignment horizontal="center"/>
    </xf>
    <xf numFmtId="166" fontId="3" fillId="0" borderId="0" xfId="0" applyNumberFormat="1" applyFont="1" applyBorder="1" applyAlignment="1">
      <alignment horizontal="left"/>
    </xf>
    <xf numFmtId="166" fontId="3" fillId="0" borderId="1" xfId="0" applyNumberFormat="1" applyFont="1" applyBorder="1"/>
    <xf numFmtId="0" fontId="3" fillId="0" borderId="2" xfId="0" applyFont="1" applyBorder="1"/>
    <xf numFmtId="0" fontId="3" fillId="0" borderId="0" xfId="0" applyFont="1" applyBorder="1"/>
    <xf numFmtId="0" fontId="3" fillId="0" borderId="0" xfId="0" applyFont="1" applyAlignment="1">
      <alignment horizontal="center"/>
    </xf>
    <xf numFmtId="1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6" fontId="3" fillId="0" borderId="0" xfId="0" applyNumberFormat="1" applyFont="1"/>
    <xf numFmtId="164" fontId="3" fillId="0" borderId="0" xfId="0" applyNumberFormat="1" applyFont="1"/>
    <xf numFmtId="0" fontId="5" fillId="0" borderId="0" xfId="0" applyFont="1"/>
    <xf numFmtId="0" fontId="6" fillId="0" borderId="0" xfId="0" applyFont="1"/>
    <xf numFmtId="0" fontId="4" fillId="0" borderId="0" xfId="0" applyFont="1"/>
    <xf numFmtId="0" fontId="8" fillId="0" borderId="0" xfId="4"/>
    <xf numFmtId="0" fontId="10" fillId="0" borderId="0" xfId="4" applyFont="1"/>
    <xf numFmtId="0" fontId="11" fillId="0" borderId="0" xfId="4" applyFont="1" applyAlignment="1">
      <alignment horizontal="right"/>
    </xf>
    <xf numFmtId="0" fontId="8" fillId="0" borderId="0" xfId="4" applyFont="1"/>
    <xf numFmtId="0" fontId="11" fillId="0" borderId="0" xfId="0" applyFont="1"/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6" fontId="11" fillId="0" borderId="0" xfId="0" applyNumberFormat="1" applyFont="1"/>
    <xf numFmtId="0" fontId="14" fillId="0" borderId="0" xfId="4" applyFont="1"/>
    <xf numFmtId="0" fontId="15" fillId="0" borderId="0" xfId="0" applyFont="1"/>
    <xf numFmtId="0" fontId="16" fillId="0" borderId="0" xfId="0" applyFont="1"/>
    <xf numFmtId="0" fontId="8" fillId="0" borderId="0" xfId="2"/>
    <xf numFmtId="6" fontId="8" fillId="0" borderId="0" xfId="2" applyNumberFormat="1"/>
    <xf numFmtId="167" fontId="11" fillId="0" borderId="0" xfId="0" applyNumberFormat="1" applyFont="1"/>
    <xf numFmtId="0" fontId="13" fillId="0" borderId="0" xfId="0" applyFont="1"/>
    <xf numFmtId="0" fontId="13" fillId="0" borderId="0" xfId="0" applyFont="1" applyAlignment="1">
      <alignment horizontal="center"/>
    </xf>
    <xf numFmtId="20" fontId="13" fillId="0" borderId="0" xfId="0" applyNumberFormat="1" applyFont="1"/>
    <xf numFmtId="0" fontId="17" fillId="0" borderId="0" xfId="3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13" fillId="0" borderId="0" xfId="0" applyNumberFormat="1" applyFont="1"/>
    <xf numFmtId="0" fontId="13" fillId="0" borderId="9" xfId="0" applyFont="1" applyBorder="1" applyAlignment="1">
      <alignment horizontal="center"/>
    </xf>
    <xf numFmtId="0" fontId="13" fillId="0" borderId="10" xfId="0" applyFont="1" applyBorder="1"/>
    <xf numFmtId="6" fontId="13" fillId="0" borderId="11" xfId="0" applyNumberFormat="1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0" xfId="0" applyFont="1" applyBorder="1"/>
    <xf numFmtId="6" fontId="13" fillId="0" borderId="6" xfId="0" applyNumberFormat="1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7" xfId="0" applyFont="1" applyBorder="1"/>
    <xf numFmtId="6" fontId="13" fillId="0" borderId="2" xfId="0" applyNumberFormat="1" applyFont="1" applyBorder="1" applyAlignment="1">
      <alignment horizontal="center"/>
    </xf>
    <xf numFmtId="0" fontId="13" fillId="0" borderId="11" xfId="0" applyFont="1" applyBorder="1"/>
    <xf numFmtId="0" fontId="13" fillId="0" borderId="6" xfId="0" applyFont="1" applyBorder="1"/>
    <xf numFmtId="0" fontId="13" fillId="0" borderId="2" xfId="0" applyFont="1" applyBorder="1"/>
    <xf numFmtId="0" fontId="13" fillId="0" borderId="0" xfId="0" applyFont="1" applyBorder="1" applyAlignment="1">
      <alignment horizontal="center"/>
    </xf>
    <xf numFmtId="1" fontId="13" fillId="0" borderId="9" xfId="0" applyNumberFormat="1" applyFont="1" applyBorder="1" applyAlignment="1">
      <alignment horizontal="center"/>
    </xf>
    <xf numFmtId="1" fontId="13" fillId="0" borderId="3" xfId="0" applyNumberFormat="1" applyFont="1" applyBorder="1" applyAlignment="1">
      <alignment horizontal="center"/>
    </xf>
    <xf numFmtId="1" fontId="13" fillId="0" borderId="1" xfId="0" applyNumberFormat="1" applyFont="1" applyBorder="1" applyAlignment="1">
      <alignment horizontal="center"/>
    </xf>
    <xf numFmtId="166" fontId="13" fillId="0" borderId="1" xfId="0" applyNumberFormat="1" applyFont="1" applyBorder="1"/>
    <xf numFmtId="0" fontId="14" fillId="0" borderId="0" xfId="2" applyFont="1"/>
    <xf numFmtId="0" fontId="9" fillId="0" borderId="0" xfId="0" applyFont="1"/>
    <xf numFmtId="0" fontId="24" fillId="0" borderId="0" xfId="0" applyFont="1"/>
    <xf numFmtId="0" fontId="23" fillId="2" borderId="0" xfId="0" applyFont="1" applyFill="1" applyBorder="1" applyAlignment="1">
      <alignment horizontal="center" vertical="center" wrapText="1"/>
    </xf>
    <xf numFmtId="0" fontId="23" fillId="2" borderId="0" xfId="0" applyFont="1" applyFill="1" applyBorder="1" applyAlignment="1">
      <alignment horizontal="center" vertical="center"/>
    </xf>
    <xf numFmtId="0" fontId="23" fillId="2" borderId="4" xfId="0" applyFont="1" applyFill="1" applyBorder="1" applyAlignment="1">
      <alignment horizontal="center"/>
    </xf>
    <xf numFmtId="0" fontId="23" fillId="2" borderId="8" xfId="0" applyFont="1" applyFill="1" applyBorder="1" applyAlignment="1">
      <alignment horizontal="center"/>
    </xf>
    <xf numFmtId="0" fontId="23" fillId="2" borderId="5" xfId="0" applyFont="1" applyFill="1" applyBorder="1" applyAlignment="1">
      <alignment horizontal="center"/>
    </xf>
    <xf numFmtId="0" fontId="23" fillId="2" borderId="8" xfId="0" applyFont="1" applyFill="1" applyBorder="1" applyAlignment="1">
      <alignment horizontal="center" vertical="center" wrapText="1"/>
    </xf>
    <xf numFmtId="0" fontId="23" fillId="2" borderId="8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 wrapText="1"/>
    </xf>
    <xf numFmtId="0" fontId="25" fillId="2" borderId="4" xfId="0" applyFont="1" applyFill="1" applyBorder="1" applyAlignment="1">
      <alignment horizontal="center" vertical="center" wrapText="1"/>
    </xf>
    <xf numFmtId="0" fontId="25" fillId="2" borderId="5" xfId="0" applyFont="1" applyFill="1" applyBorder="1" applyAlignment="1">
      <alignment horizontal="center" vertical="center" wrapText="1"/>
    </xf>
    <xf numFmtId="0" fontId="1" fillId="0" borderId="0" xfId="0" applyFont="1"/>
    <xf numFmtId="0" fontId="26" fillId="0" borderId="0" xfId="0" applyFont="1"/>
    <xf numFmtId="0" fontId="8" fillId="0" borderId="0" xfId="5"/>
    <xf numFmtId="0" fontId="20" fillId="0" borderId="0" xfId="5" applyFont="1"/>
    <xf numFmtId="0" fontId="8" fillId="0" borderId="7" xfId="5" applyBorder="1"/>
    <xf numFmtId="0" fontId="10" fillId="0" borderId="7" xfId="5" applyFont="1" applyBorder="1" applyAlignment="1">
      <alignment horizontal="center"/>
    </xf>
    <xf numFmtId="0" fontId="10" fillId="0" borderId="7" xfId="5" applyFont="1" applyBorder="1" applyAlignment="1">
      <alignment horizontal="center" wrapText="1"/>
    </xf>
    <xf numFmtId="0" fontId="8" fillId="3" borderId="0" xfId="5" applyFill="1" applyAlignment="1">
      <alignment horizontal="center"/>
    </xf>
    <xf numFmtId="0" fontId="8" fillId="3" borderId="0" xfId="5" applyFill="1"/>
    <xf numFmtId="0" fontId="27" fillId="3" borderId="0" xfId="5" applyFont="1" applyFill="1"/>
    <xf numFmtId="0" fontId="8" fillId="3" borderId="12" xfId="5" applyFill="1" applyBorder="1" applyAlignment="1">
      <alignment horizontal="center"/>
    </xf>
    <xf numFmtId="0" fontId="8" fillId="3" borderId="12" xfId="5" applyFill="1" applyBorder="1"/>
    <xf numFmtId="0" fontId="10" fillId="4" borderId="0" xfId="5" applyFont="1" applyFill="1" applyAlignment="1">
      <alignment horizontal="center"/>
    </xf>
    <xf numFmtId="0" fontId="28" fillId="3" borderId="0" xfId="5" applyFont="1" applyFill="1" applyAlignment="1">
      <alignment horizontal="center"/>
    </xf>
    <xf numFmtId="0" fontId="8" fillId="5" borderId="0" xfId="5" applyFill="1"/>
    <xf numFmtId="0" fontId="29" fillId="3" borderId="0" xfId="5" applyFont="1" applyFill="1"/>
    <xf numFmtId="0" fontId="30" fillId="3" borderId="0" xfId="5" applyFont="1" applyFill="1"/>
    <xf numFmtId="0" fontId="8" fillId="3" borderId="0" xfId="5" applyFont="1" applyFill="1"/>
    <xf numFmtId="0" fontId="8" fillId="0" borderId="12" xfId="5" applyBorder="1"/>
    <xf numFmtId="0" fontId="10" fillId="4" borderId="12" xfId="5" applyFont="1" applyFill="1" applyBorder="1" applyAlignment="1">
      <alignment horizontal="center"/>
    </xf>
    <xf numFmtId="0" fontId="28" fillId="3" borderId="12" xfId="5" applyFont="1" applyFill="1" applyBorder="1" applyAlignment="1">
      <alignment horizontal="center"/>
    </xf>
    <xf numFmtId="0" fontId="8" fillId="5" borderId="12" xfId="5" applyFill="1" applyBorder="1"/>
    <xf numFmtId="0" fontId="8" fillId="0" borderId="7" xfId="5" applyBorder="1" applyAlignment="1">
      <alignment horizontal="center"/>
    </xf>
    <xf numFmtId="0" fontId="31" fillId="0" borderId="0" xfId="5" applyFont="1" applyAlignment="1">
      <alignment horizontal="right" vertical="center"/>
    </xf>
    <xf numFmtId="0" fontId="20" fillId="0" borderId="0" xfId="5" applyFont="1" applyAlignment="1">
      <alignment horizontal="center"/>
    </xf>
    <xf numFmtId="0" fontId="20" fillId="0" borderId="0" xfId="5" applyFont="1" applyAlignment="1">
      <alignment horizontal="right" vertical="center"/>
    </xf>
    <xf numFmtId="0" fontId="26" fillId="0" borderId="0" xfId="5" applyFont="1"/>
    <xf numFmtId="0" fontId="34" fillId="0" borderId="0" xfId="5" applyFont="1"/>
    <xf numFmtId="0" fontId="1" fillId="0" borderId="10" xfId="0" applyFont="1" applyBorder="1"/>
    <xf numFmtId="0" fontId="1" fillId="0" borderId="0" xfId="0" applyFont="1" applyBorder="1"/>
    <xf numFmtId="0" fontId="1" fillId="0" borderId="7" xfId="0" applyFont="1" applyBorder="1"/>
    <xf numFmtId="0" fontId="1" fillId="0" borderId="0" xfId="6"/>
    <xf numFmtId="0" fontId="34" fillId="0" borderId="0" xfId="6" applyFont="1"/>
    <xf numFmtId="0" fontId="35" fillId="0" borderId="0" xfId="6" applyFont="1" applyAlignment="1">
      <alignment horizontal="center"/>
    </xf>
    <xf numFmtId="0" fontId="34" fillId="0" borderId="0" xfId="6" applyFont="1" applyAlignment="1">
      <alignment horizontal="center"/>
    </xf>
    <xf numFmtId="3" fontId="1" fillId="0" borderId="0" xfId="6" applyNumberFormat="1"/>
    <xf numFmtId="3" fontId="34" fillId="0" borderId="0" xfId="6" applyNumberFormat="1" applyFont="1"/>
    <xf numFmtId="0" fontId="1" fillId="0" borderId="12" xfId="6" applyBorder="1"/>
    <xf numFmtId="3" fontId="1" fillId="0" borderId="12" xfId="6" applyNumberFormat="1" applyBorder="1"/>
    <xf numFmtId="3" fontId="34" fillId="0" borderId="12" xfId="6" applyNumberFormat="1" applyFont="1" applyBorder="1"/>
    <xf numFmtId="0" fontId="34" fillId="0" borderId="0" xfId="6" applyFont="1" applyAlignment="1">
      <alignment horizontal="right"/>
    </xf>
    <xf numFmtId="0" fontId="34" fillId="0" borderId="14" xfId="6" applyFont="1" applyBorder="1" applyAlignment="1">
      <alignment horizontal="right"/>
    </xf>
    <xf numFmtId="3" fontId="1" fillId="0" borderId="14" xfId="6" applyNumberFormat="1" applyBorder="1"/>
    <xf numFmtId="3" fontId="34" fillId="0" borderId="14" xfId="6" applyNumberFormat="1" applyFont="1" applyBorder="1"/>
    <xf numFmtId="0" fontId="34" fillId="0" borderId="13" xfId="6" applyFont="1" applyBorder="1" applyAlignment="1">
      <alignment horizontal="center"/>
    </xf>
    <xf numFmtId="0" fontId="1" fillId="0" borderId="0" xfId="6" applyAlignment="1">
      <alignment horizontal="center"/>
    </xf>
    <xf numFmtId="0" fontId="18" fillId="0" borderId="0" xfId="6" applyFont="1" applyBorder="1" applyAlignment="1"/>
    <xf numFmtId="0" fontId="18" fillId="0" borderId="0" xfId="6" applyFont="1"/>
    <xf numFmtId="0" fontId="1" fillId="0" borderId="6" xfId="0" applyFont="1" applyBorder="1"/>
    <xf numFmtId="0" fontId="23" fillId="2" borderId="11" xfId="0" applyFont="1" applyFill="1" applyBorder="1" applyAlignment="1">
      <alignment horizontal="center"/>
    </xf>
    <xf numFmtId="0" fontId="1" fillId="0" borderId="2" xfId="0" applyFont="1" applyBorder="1"/>
    <xf numFmtId="0" fontId="3" fillId="0" borderId="0" xfId="6" applyFont="1"/>
    <xf numFmtId="0" fontId="39" fillId="0" borderId="0" xfId="6" applyFont="1"/>
    <xf numFmtId="0" fontId="8" fillId="0" borderId="0" xfId="6" applyFont="1"/>
    <xf numFmtId="0" fontId="3" fillId="0" borderId="9" xfId="6" applyFont="1" applyBorder="1"/>
    <xf numFmtId="0" fontId="12" fillId="0" borderId="10" xfId="6" applyFont="1" applyBorder="1" applyAlignment="1">
      <alignment horizontal="left" vertical="center"/>
    </xf>
    <xf numFmtId="0" fontId="12" fillId="0" borderId="10" xfId="6" applyFont="1" applyBorder="1" applyAlignment="1">
      <alignment vertical="center"/>
    </xf>
    <xf numFmtId="0" fontId="12" fillId="0" borderId="11" xfId="6" applyFont="1" applyBorder="1" applyAlignment="1">
      <alignment vertical="center"/>
    </xf>
    <xf numFmtId="166" fontId="3" fillId="0" borderId="1" xfId="6" applyNumberFormat="1" applyFont="1" applyBorder="1"/>
    <xf numFmtId="0" fontId="3" fillId="0" borderId="7" xfId="6" applyFont="1" applyBorder="1"/>
    <xf numFmtId="0" fontId="3" fillId="0" borderId="2" xfId="6" applyFont="1" applyBorder="1"/>
    <xf numFmtId="0" fontId="23" fillId="6" borderId="7" xfId="6" applyFont="1" applyFill="1" applyBorder="1" applyAlignment="1">
      <alignment horizontal="center" wrapText="1"/>
    </xf>
    <xf numFmtId="0" fontId="23" fillId="6" borderId="7" xfId="6" applyFont="1" applyFill="1" applyBorder="1" applyAlignment="1">
      <alignment horizontal="center"/>
    </xf>
    <xf numFmtId="0" fontId="8" fillId="0" borderId="0" xfId="6" applyFont="1" applyAlignment="1">
      <alignment horizontal="center"/>
    </xf>
    <xf numFmtId="168" fontId="8" fillId="0" borderId="0" xfId="6" applyNumberFormat="1" applyFont="1"/>
    <xf numFmtId="37" fontId="8" fillId="0" borderId="0" xfId="6" applyNumberFormat="1" applyFont="1"/>
    <xf numFmtId="7" fontId="8" fillId="0" borderId="0" xfId="1" applyNumberFormat="1" applyFont="1"/>
    <xf numFmtId="1" fontId="3" fillId="0" borderId="0" xfId="6" applyNumberFormat="1" applyFont="1" applyAlignment="1">
      <alignment horizontal="left"/>
    </xf>
    <xf numFmtId="1" fontId="8" fillId="0" borderId="0" xfId="6" applyNumberFormat="1" applyFont="1" applyAlignment="1">
      <alignment horizontal="center"/>
    </xf>
    <xf numFmtId="16" fontId="3" fillId="0" borderId="0" xfId="6" applyNumberFormat="1" applyFont="1"/>
    <xf numFmtId="164" fontId="3" fillId="0" borderId="0" xfId="6" applyNumberFormat="1" applyFont="1"/>
    <xf numFmtId="0" fontId="7" fillId="0" borderId="0" xfId="6" applyFont="1"/>
    <xf numFmtId="0" fontId="20" fillId="0" borderId="4" xfId="5" applyFont="1" applyBorder="1" applyAlignment="1">
      <alignment horizontal="center"/>
    </xf>
    <xf numFmtId="0" fontId="33" fillId="0" borderId="5" xfId="5" applyFont="1" applyBorder="1" applyAlignment="1">
      <alignment horizontal="center"/>
    </xf>
    <xf numFmtId="0" fontId="31" fillId="0" borderId="0" xfId="6" applyFont="1" applyAlignment="1">
      <alignment horizontal="right"/>
    </xf>
    <xf numFmtId="0" fontId="8" fillId="0" borderId="13" xfId="5" applyBorder="1"/>
    <xf numFmtId="0" fontId="40" fillId="0" borderId="0" xfId="6" applyFont="1"/>
    <xf numFmtId="0" fontId="18" fillId="0" borderId="0" xfId="0" applyFont="1" applyBorder="1" applyAlignment="1"/>
    <xf numFmtId="0" fontId="13" fillId="0" borderId="9" xfId="0" applyFont="1" applyBorder="1"/>
    <xf numFmtId="0" fontId="3" fillId="0" borderId="11" xfId="0" applyFont="1" applyBorder="1"/>
    <xf numFmtId="0" fontId="13" fillId="0" borderId="10" xfId="0" applyFont="1" applyBorder="1" applyAlignment="1">
      <alignment horizontal="center" vertical="center"/>
    </xf>
    <xf numFmtId="165" fontId="3" fillId="0" borderId="0" xfId="0" applyNumberFormat="1" applyFont="1"/>
    <xf numFmtId="0" fontId="11" fillId="0" borderId="10" xfId="0" applyFont="1" applyBorder="1" applyAlignment="1">
      <alignment horizontal="center"/>
    </xf>
    <xf numFmtId="166" fontId="11" fillId="0" borderId="10" xfId="0" applyNumberFormat="1" applyFont="1" applyBorder="1"/>
    <xf numFmtId="1" fontId="11" fillId="0" borderId="0" xfId="0" applyNumberFormat="1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166" fontId="11" fillId="0" borderId="0" xfId="0" applyNumberFormat="1" applyFont="1" applyBorder="1"/>
    <xf numFmtId="165" fontId="11" fillId="0" borderId="0" xfId="1" applyNumberFormat="1" applyFont="1"/>
    <xf numFmtId="165" fontId="11" fillId="0" borderId="0" xfId="0" applyNumberFormat="1" applyFont="1"/>
    <xf numFmtId="0" fontId="0" fillId="0" borderId="0" xfId="0" pivotButton="1"/>
    <xf numFmtId="164" fontId="0" fillId="0" borderId="0" xfId="0" applyNumberFormat="1"/>
    <xf numFmtId="0" fontId="23" fillId="6" borderId="0" xfId="6" applyFont="1" applyFill="1" applyBorder="1" applyAlignment="1">
      <alignment horizontal="center" wrapText="1"/>
    </xf>
    <xf numFmtId="7" fontId="8" fillId="0" borderId="16" xfId="1" applyNumberFormat="1" applyFont="1" applyBorder="1"/>
    <xf numFmtId="7" fontId="8" fillId="0" borderId="18" xfId="1" applyNumberFormat="1" applyFont="1" applyBorder="1"/>
    <xf numFmtId="7" fontId="8" fillId="0" borderId="20" xfId="1" applyNumberFormat="1" applyFont="1" applyBorder="1"/>
    <xf numFmtId="0" fontId="23" fillId="2" borderId="9" xfId="0" applyFont="1" applyFill="1" applyBorder="1" applyAlignment="1">
      <alignment horizontal="center" vertical="center" wrapText="1"/>
    </xf>
    <xf numFmtId="0" fontId="23" fillId="2" borderId="9" xfId="0" applyFont="1" applyFill="1" applyBorder="1" applyAlignment="1">
      <alignment horizontal="center" vertical="center" wrapText="1"/>
    </xf>
    <xf numFmtId="0" fontId="0" fillId="0" borderId="15" xfId="0" applyBorder="1"/>
    <xf numFmtId="0" fontId="0" fillId="0" borderId="17" xfId="0" applyBorder="1"/>
    <xf numFmtId="0" fontId="0" fillId="0" borderId="19" xfId="0" applyBorder="1"/>
    <xf numFmtId="20" fontId="8" fillId="3" borderId="0" xfId="0" applyNumberFormat="1" applyFont="1" applyFill="1"/>
    <xf numFmtId="164" fontId="8" fillId="3" borderId="0" xfId="0" applyNumberFormat="1" applyFont="1" applyFill="1"/>
    <xf numFmtId="165" fontId="8" fillId="3" borderId="0" xfId="0" applyNumberFormat="1" applyFont="1" applyFill="1"/>
    <xf numFmtId="166" fontId="13" fillId="0" borderId="7" xfId="0" applyNumberFormat="1" applyFont="1" applyBorder="1"/>
    <xf numFmtId="0" fontId="23" fillId="2" borderId="1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/>
    </xf>
    <xf numFmtId="0" fontId="34" fillId="0" borderId="0" xfId="0" applyFont="1" applyBorder="1"/>
    <xf numFmtId="0" fontId="1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69" fontId="11" fillId="0" borderId="10" xfId="0" applyNumberFormat="1" applyFont="1" applyBorder="1"/>
    <xf numFmtId="169" fontId="11" fillId="0" borderId="0" xfId="0" applyNumberFormat="1" applyFont="1"/>
    <xf numFmtId="169" fontId="13" fillId="0" borderId="0" xfId="0" applyNumberFormat="1" applyFont="1"/>
    <xf numFmtId="170" fontId="11" fillId="0" borderId="0" xfId="1" applyNumberFormat="1" applyFont="1"/>
    <xf numFmtId="170" fontId="11" fillId="0" borderId="0" xfId="0" applyNumberFormat="1" applyFont="1"/>
    <xf numFmtId="170" fontId="13" fillId="0" borderId="0" xfId="0" applyNumberFormat="1" applyFont="1"/>
    <xf numFmtId="169" fontId="11" fillId="0" borderId="0" xfId="0" applyNumberFormat="1" applyFont="1" applyBorder="1"/>
    <xf numFmtId="0" fontId="34" fillId="0" borderId="0" xfId="0" applyFont="1"/>
    <xf numFmtId="0" fontId="8" fillId="0" borderId="0" xfId="6" applyFont="1" applyBorder="1"/>
    <xf numFmtId="0" fontId="10" fillId="0" borderId="0" xfId="6" applyFont="1" applyAlignment="1">
      <alignment horizontal="center"/>
    </xf>
    <xf numFmtId="37" fontId="3" fillId="0" borderId="0" xfId="6" applyNumberFormat="1" applyFont="1"/>
    <xf numFmtId="0" fontId="0" fillId="0" borderId="0" xfId="0" applyBorder="1"/>
    <xf numFmtId="0" fontId="10" fillId="0" borderId="0" xfId="6" applyFont="1"/>
    <xf numFmtId="0" fontId="8" fillId="0" borderId="9" xfId="6" applyFont="1" applyBorder="1"/>
    <xf numFmtId="0" fontId="8" fillId="0" borderId="10" xfId="6" applyFont="1" applyBorder="1" applyAlignment="1">
      <alignment horizontal="center"/>
    </xf>
    <xf numFmtId="37" fontId="8" fillId="0" borderId="10" xfId="6" applyNumberFormat="1" applyFont="1" applyBorder="1"/>
    <xf numFmtId="7" fontId="8" fillId="0" borderId="11" xfId="1" applyNumberFormat="1" applyFont="1" applyBorder="1"/>
    <xf numFmtId="0" fontId="8" fillId="0" borderId="3" xfId="6" applyFont="1" applyBorder="1"/>
    <xf numFmtId="0" fontId="8" fillId="0" borderId="0" xfId="6" applyFont="1" applyBorder="1" applyAlignment="1">
      <alignment horizontal="center"/>
    </xf>
    <xf numFmtId="37" fontId="8" fillId="0" borderId="0" xfId="6" applyNumberFormat="1" applyFont="1" applyBorder="1"/>
    <xf numFmtId="7" fontId="8" fillId="0" borderId="6" xfId="1" applyNumberFormat="1" applyFont="1" applyBorder="1"/>
    <xf numFmtId="0" fontId="10" fillId="0" borderId="0" xfId="6" applyFont="1" applyBorder="1" applyAlignment="1">
      <alignment horizontal="center"/>
    </xf>
    <xf numFmtId="0" fontId="8" fillId="0" borderId="1" xfId="6" applyFont="1" applyBorder="1"/>
    <xf numFmtId="0" fontId="10" fillId="4" borderId="3" xfId="6" applyFont="1" applyFill="1" applyBorder="1"/>
    <xf numFmtId="0" fontId="8" fillId="4" borderId="0" xfId="6" applyFont="1" applyFill="1" applyBorder="1" applyAlignment="1">
      <alignment horizontal="center"/>
    </xf>
    <xf numFmtId="37" fontId="8" fillId="4" borderId="0" xfId="6" applyNumberFormat="1" applyFont="1" applyFill="1" applyBorder="1"/>
    <xf numFmtId="0" fontId="10" fillId="8" borderId="7" xfId="6" applyFont="1" applyFill="1" applyBorder="1" applyAlignment="1">
      <alignment horizontal="center"/>
    </xf>
    <xf numFmtId="37" fontId="8" fillId="8" borderId="7" xfId="6" applyNumberFormat="1" applyFont="1" applyFill="1" applyBorder="1"/>
    <xf numFmtId="7" fontId="8" fillId="8" borderId="2" xfId="1" applyNumberFormat="1" applyFon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71" fontId="0" fillId="0" borderId="0" xfId="0" applyNumberFormat="1"/>
    <xf numFmtId="0" fontId="36" fillId="0" borderId="9" xfId="0" applyFont="1" applyBorder="1" applyAlignment="1">
      <alignment horizontal="center" vertical="center"/>
    </xf>
    <xf numFmtId="0" fontId="36" fillId="0" borderId="10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166" fontId="13" fillId="0" borderId="3" xfId="0" applyNumberFormat="1" applyFont="1" applyBorder="1" applyAlignment="1">
      <alignment horizontal="center"/>
    </xf>
    <xf numFmtId="166" fontId="13" fillId="0" borderId="0" xfId="0" applyNumberFormat="1" applyFont="1" applyBorder="1" applyAlignment="1">
      <alignment horizontal="center"/>
    </xf>
    <xf numFmtId="166" fontId="13" fillId="0" borderId="6" xfId="0" applyNumberFormat="1" applyFont="1" applyBorder="1" applyAlignment="1">
      <alignment horizontal="center"/>
    </xf>
    <xf numFmtId="0" fontId="42" fillId="7" borderId="0" xfId="3" applyFont="1" applyFill="1" applyAlignment="1">
      <alignment horizontal="center"/>
    </xf>
    <xf numFmtId="0" fontId="37" fillId="0" borderId="9" xfId="0" applyFont="1" applyBorder="1" applyAlignment="1">
      <alignment horizontal="center" vertical="center"/>
    </xf>
    <xf numFmtId="0" fontId="38" fillId="0" borderId="11" xfId="0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/>
    </xf>
    <xf numFmtId="166" fontId="3" fillId="0" borderId="6" xfId="0" applyNumberFormat="1" applyFont="1" applyBorder="1" applyAlignment="1">
      <alignment horizontal="center"/>
    </xf>
    <xf numFmtId="0" fontId="41" fillId="6" borderId="0" xfId="6" applyFont="1" applyFill="1" applyAlignment="1">
      <alignment horizontal="center" vertical="top" wrapText="1"/>
    </xf>
  </cellXfs>
  <cellStyles count="7">
    <cellStyle name="Currency" xfId="1" builtinId="4"/>
    <cellStyle name="Normal" xfId="0" builtinId="0"/>
    <cellStyle name="Normal 2" xfId="5"/>
    <cellStyle name="Normal 2 2" xfId="6"/>
    <cellStyle name="Normal_BeerSalesDatabase" xfId="2"/>
    <cellStyle name="Normal_Book1" xfId="3"/>
    <cellStyle name="Normal_New Tasks for 2004" xfId="4"/>
  </cellStyles>
  <dxfs count="5">
    <dxf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border>
        <top style="thick">
          <color auto="1"/>
        </top>
        <bottom style="double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Medium9" defaultPivotStyle="PivotTable Style 1">
    <tableStyle name="PivotTable Style 1" table="0" count="4">
      <tableStyleElement type="wholeTable" dxfId="4"/>
      <tableStyleElement type="headerRow" dxfId="3"/>
      <tableStyleElement type="totalRow" dxfId="2"/>
      <tableStyleElement type="pageFieldLabels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FDFD3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10</xdr:row>
      <xdr:rowOff>47625</xdr:rowOff>
    </xdr:from>
    <xdr:to>
      <xdr:col>1</xdr:col>
      <xdr:colOff>428625</xdr:colOff>
      <xdr:row>10</xdr:row>
      <xdr:rowOff>171450</xdr:rowOff>
    </xdr:to>
    <xdr:pic>
      <xdr:nvPicPr>
        <xdr:cNvPr id="17409" name="Picture 1" descr="BD21295_">
          <a:extLst>
            <a:ext uri="{FF2B5EF4-FFF2-40B4-BE49-F238E27FC236}">
              <a16:creationId xmlns:a16="http://schemas.microsoft.com/office/drawing/2014/main" id="{00000000-0008-0000-0000-000001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1550" y="1657350"/>
          <a:ext cx="142875" cy="1238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285750</xdr:colOff>
      <xdr:row>9</xdr:row>
      <xdr:rowOff>38100</xdr:rowOff>
    </xdr:from>
    <xdr:to>
      <xdr:col>1</xdr:col>
      <xdr:colOff>428625</xdr:colOff>
      <xdr:row>9</xdr:row>
      <xdr:rowOff>161925</xdr:rowOff>
    </xdr:to>
    <xdr:pic>
      <xdr:nvPicPr>
        <xdr:cNvPr id="17410" name="Picture 2" descr="BD21295_">
          <a:extLst>
            <a:ext uri="{FF2B5EF4-FFF2-40B4-BE49-F238E27FC236}">
              <a16:creationId xmlns:a16="http://schemas.microsoft.com/office/drawing/2014/main" id="{00000000-0008-0000-0000-000002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1550" y="1457325"/>
          <a:ext cx="142875" cy="1238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285750</xdr:colOff>
      <xdr:row>13</xdr:row>
      <xdr:rowOff>47625</xdr:rowOff>
    </xdr:from>
    <xdr:to>
      <xdr:col>1</xdr:col>
      <xdr:colOff>428625</xdr:colOff>
      <xdr:row>13</xdr:row>
      <xdr:rowOff>171450</xdr:rowOff>
    </xdr:to>
    <xdr:pic>
      <xdr:nvPicPr>
        <xdr:cNvPr id="17411" name="Picture 3" descr="BD21295_">
          <a:extLst>
            <a:ext uri="{FF2B5EF4-FFF2-40B4-BE49-F238E27FC236}">
              <a16:creationId xmlns:a16="http://schemas.microsoft.com/office/drawing/2014/main" id="{00000000-0008-0000-0000-000003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1550" y="2228850"/>
          <a:ext cx="142875" cy="1238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285750</xdr:colOff>
      <xdr:row>14</xdr:row>
      <xdr:rowOff>47625</xdr:rowOff>
    </xdr:from>
    <xdr:to>
      <xdr:col>1</xdr:col>
      <xdr:colOff>428625</xdr:colOff>
      <xdr:row>14</xdr:row>
      <xdr:rowOff>171450</xdr:rowOff>
    </xdr:to>
    <xdr:pic>
      <xdr:nvPicPr>
        <xdr:cNvPr id="17412" name="Picture 4" descr="BD21295_">
          <a:extLst>
            <a:ext uri="{FF2B5EF4-FFF2-40B4-BE49-F238E27FC236}">
              <a16:creationId xmlns:a16="http://schemas.microsoft.com/office/drawing/2014/main" id="{00000000-0008-0000-0000-000004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1550" y="2647950"/>
          <a:ext cx="142875" cy="1238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285750</xdr:colOff>
      <xdr:row>11</xdr:row>
      <xdr:rowOff>47625</xdr:rowOff>
    </xdr:from>
    <xdr:to>
      <xdr:col>1</xdr:col>
      <xdr:colOff>428625</xdr:colOff>
      <xdr:row>11</xdr:row>
      <xdr:rowOff>171450</xdr:rowOff>
    </xdr:to>
    <xdr:pic>
      <xdr:nvPicPr>
        <xdr:cNvPr id="17413" name="Picture 5" descr="BD21295_">
          <a:extLst>
            <a:ext uri="{FF2B5EF4-FFF2-40B4-BE49-F238E27FC236}">
              <a16:creationId xmlns:a16="http://schemas.microsoft.com/office/drawing/2014/main" id="{00000000-0008-0000-0000-000005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1550" y="1847850"/>
          <a:ext cx="142875" cy="1238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285750</xdr:colOff>
      <xdr:row>17</xdr:row>
      <xdr:rowOff>47625</xdr:rowOff>
    </xdr:from>
    <xdr:to>
      <xdr:col>1</xdr:col>
      <xdr:colOff>428625</xdr:colOff>
      <xdr:row>17</xdr:row>
      <xdr:rowOff>171450</xdr:rowOff>
    </xdr:to>
    <xdr:pic>
      <xdr:nvPicPr>
        <xdr:cNvPr id="17414" name="Picture 6" descr="BD21295_">
          <a:extLst>
            <a:ext uri="{FF2B5EF4-FFF2-40B4-BE49-F238E27FC236}">
              <a16:creationId xmlns:a16="http://schemas.microsoft.com/office/drawing/2014/main" id="{00000000-0008-0000-0000-000006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1550" y="3219450"/>
          <a:ext cx="142875" cy="1238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285750</xdr:colOff>
      <xdr:row>12</xdr:row>
      <xdr:rowOff>47625</xdr:rowOff>
    </xdr:from>
    <xdr:to>
      <xdr:col>1</xdr:col>
      <xdr:colOff>428625</xdr:colOff>
      <xdr:row>12</xdr:row>
      <xdr:rowOff>171450</xdr:rowOff>
    </xdr:to>
    <xdr:pic>
      <xdr:nvPicPr>
        <xdr:cNvPr id="17418" name="Picture 10" descr="BD21295_">
          <a:extLst>
            <a:ext uri="{FF2B5EF4-FFF2-40B4-BE49-F238E27FC236}">
              <a16:creationId xmlns:a16="http://schemas.microsoft.com/office/drawing/2014/main" id="{00000000-0008-0000-0000-00000A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1550" y="2038350"/>
          <a:ext cx="142875" cy="1238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285750</xdr:colOff>
      <xdr:row>16</xdr:row>
      <xdr:rowOff>47625</xdr:rowOff>
    </xdr:from>
    <xdr:to>
      <xdr:col>1</xdr:col>
      <xdr:colOff>428625</xdr:colOff>
      <xdr:row>16</xdr:row>
      <xdr:rowOff>171450</xdr:rowOff>
    </xdr:to>
    <xdr:pic>
      <xdr:nvPicPr>
        <xdr:cNvPr id="10" name="Picture 6" descr="BD21295_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1550" y="3028950"/>
          <a:ext cx="142875" cy="1238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285750</xdr:colOff>
      <xdr:row>15</xdr:row>
      <xdr:rowOff>47625</xdr:rowOff>
    </xdr:from>
    <xdr:to>
      <xdr:col>1</xdr:col>
      <xdr:colOff>428625</xdr:colOff>
      <xdr:row>15</xdr:row>
      <xdr:rowOff>171450</xdr:rowOff>
    </xdr:to>
    <xdr:pic>
      <xdr:nvPicPr>
        <xdr:cNvPr id="11" name="Picture 6" descr="BD21295_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1550" y="2838450"/>
          <a:ext cx="142875" cy="123825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5</xdr:row>
      <xdr:rowOff>790575</xdr:rowOff>
    </xdr:from>
    <xdr:to>
      <xdr:col>6</xdr:col>
      <xdr:colOff>390525</xdr:colOff>
      <xdr:row>5</xdr:row>
      <xdr:rowOff>1076325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 txBox="1">
          <a:spLocks noChangeArrowheads="1"/>
        </xdr:cNvSpPr>
      </xdr:nvSpPr>
      <xdr:spPr bwMode="auto">
        <a:xfrm>
          <a:off x="2905125" y="1724025"/>
          <a:ext cx="2333625" cy="2857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600" b="0" i="1" strike="noStrike">
              <a:solidFill>
                <a:srgbClr val="000000"/>
              </a:solidFill>
              <a:latin typeface="Book Antiqua"/>
            </a:rPr>
            <a:t>Total Pay Report</a:t>
          </a:r>
        </a:p>
      </xdr:txBody>
    </xdr:sp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304800</xdr:colOff>
      <xdr:row>4</xdr:row>
      <xdr:rowOff>123825</xdr:rowOff>
    </xdr:to>
    <xdr:sp macro="" textlink="">
      <xdr:nvSpPr>
        <xdr:cNvPr id="3" name="AutoShape 1" descr="data:image/jpeg;base64,/9j/4AAQSkZJRgABAQAAAQABAAD/2wCEAAkGBwgHBgkIBwgWFgkVGRcaFRQYGCMgHBwWIBwdHiQdHx4nIygsGyYmJx8eLT0jLiwrLjIyIyszOD84PDQtLisBCgoKBQUFDgUFDisZExkrKysrKysrKysrKysrKysrKysrKysrKysrKysrKysrKysrKysrKysrKysrKysrKysrK//AABEIASoAqQMBIgACEQEDEQH/xAAcAAEBAAIDAQEAAAAAAAAAAAAACAUHAwQGAgH/xABEEAABAgQBBgsFBwIFBQAAAAAAAQIDBAURBgcXIXKTsxIxNjdBUVJVdNHSFGFxgZIIEzKCkaHBVLEiU2JzshUWIzNC/8QAFAEBAAAAAAAAAAAAAAAAAAAAAP/EABQRAQAAAAAAAAAAAAAAAAAAAAD/2gAMAwEAAhEDEQA/APa5T8o0tgqWZLy0NIlXiJdkNfwtbxcN9tNr8SJa9l0oT9WsfYqrUZ0SdrcVGr/8Q3KxiJ1cFtkX4rdTrY5q8SuYuq1QiPujorkb/ttXgtT5NRDBAdp1Sn3KqunYl9dfM+PbZv8Aqn/UpwADn9tm/wCqf9Sn6k9ONW6TT/qXzOuAO1/1Ge/rIn1r5n4s/OuSyzb/AKl8zrADn9tm/wCqf9Sn46amHfimHL+ZThAHIseMqKixXW+KnGAAAAA+2RYjEsyIqJ7lPgAdhs9Nt/DNPT8y+Z8um5l34ph6/mU4QB2oNRnoC3gzsRq+56p/JmqXj3FlKiI+Tr8fVe/ht+l90/Y82AKTyW5VmYqmG0mtQmw6rZVY5uhkS2lURFVeC5E02uqLZbW4jaBEkhORqfPS87KvtHhua9i9Tmqip+6FRZzKT1fuBKoAAAAAAAAAAAAAAAAAAAAAAAAAAHJ99F/zF/U4wAPV4PyfYgxfAiTFKl2pKtWyxIjuC1XaP8KcaqunqseUKjyE828hrxt44DVOY3F3bl9ovpGY3F3bl9ovpKWAE05jcXduX2i+kZjcXduX2i+kpYATTmNxd25faL6RmNxd25faL6SlgBNOY3F3bl9ovpGY3F3bl9ovpKWAE05jcXduX2i+kZjcXduX2i+kpYATTmNxd25faL6RmNxd25faL6SlgBNOY3F3bl9ovpGY3F3bl9ovpKWAE05jcXduX2i+kZjcXduX2i+kpYATTmNxd25faL6TF4kyU4pw9S4lSmoDHyzNL1hP4Stb2lRURbe9L2410aSqjCY45FYg8LMbpwEbgAAVHkJ5t5DXjbxxLhUeQnm3kNeNvHAbAAAAAAAAAAAAAAAAAAAAAADCY35F1/wsxunGbMJjfkXX/CzG6cBG4AAFR5CebeQ1428cS4VHkJ5t5DXjbxwGwAAAAAAAAAAAAAAAAAAAAAAwmN+Rdf8ACzG6cZswmN+Rdf8ACzG6cBG4AAFR5CebeQ1428cS4VHkJ5t5DXjbxwGwAAAAAAAAAAAAAAAAAAAAAAwmN+Rdf8LMbpxmzCY35F1/wsxunARuAABUeQnm3kNeNvHEuFR5CebeQ1428cBsAAAAAAAAAAAAAAAAAAAAAAMJjfkXX/CzG6cZswmN+Rdf8LMbpwEbgAAVHkJ5t5DXjbxxLhUeQnm3kNeNvHAbAAAAAAAAAAAAAAAAAAAAAADCY35F1/wsxunGbMJjfkXX/CzG6cBG4AAFR5CebeQ1428cS4VHkJ5t5DXjbxwGwAAAAAAAAAAAAAAAAAAAAAAwmN+Rdf8ACzG6cZswmN+Rdf8ACzG6cBG4AAFR5CebeQ1428cS4VHkJ5t5DXjbxwGwAAAAAAAAAAAAAAAAAAAAAAwmN+Rdf8LMbpxmzCY35F1/wsxunARuAABUeQnm3kNeNvHEuFR5CebeQ1428cBsAAAAAAAAAAAAAAAAAAAAAAMJjfkXX/CzG6cZswmN+Rdf8LMbpwEbgAAVHkJ5t5DXjbxxLhUeQnm3kNeNvHAbAAAAAAAAAAAAAAAAAAAAAADCY35F1/wsxunGbMJjfkXX/CzG6cBG4AAFR5CebeQ1428cS4VHkJ5t5DXjbxwGwAAAAAAAAAAAAAAAAAAAAAAwmN+Rdf8ACzG6cZswmN+Rdf8ACzG6cBG4AAFR5CebeQ1428cS4VHkJ5t5DXjbxwGwAAAAAAAAAAAAAAAAAAAAAAwmN+Rdf8LMbpxmzCY35F1/wsxunARuAABUeQnm3kNeNvHEuFR5CebeQ1428cBsAAAAAAAAAAAAAAAAAAAAAAMJjfkXX/CzG6cZswmN+Rdf8LMbpwEbgAAbnyR5UaNh3DyUWutezgOe5kRreEio5b2VE0ot1Xotb99MACos8uCe8H7F/kM8uCe8H7F/kS6AKizy4J7wfsX+Qzy4J7wfsX+RLoAqLPLgnvB+xf5DPLgnvB+xf5EugCos8uCe8H7F/kM8uCe8H7F/kS6AKizy4J7wfsX+Qzy4J7wfsX+RNsvQ6vMwEmJelR3QV0o9sJytt8USx0HNcxyte2zk0Ki9YFQ55cE94P2L/IZ5cE94P2L/ACJdAFRZ5cE94P2L/IZ5cE94P2L/ACJdAFRZ5cE94P2L/IZ5cE94P2L/ACJdAFRZ5cE94P2L/IwGOcsOG5rDFQkKOr4s1HhvhJdita1HtVquVV6kVdCIt16uMnwAAAAAAAAAdulU2cq9QgU+my6xJuItmMTjVeP5IiXVVXQiJdTacDIHXHyX3karQGzVtEOzlbfqV9tHyavzO39mmUl31Cuzb2p7SxkFrF6Ua5Xq7/g030BGeJ8N1TC1TdT6zL8GLxtVFu1ze01elP3TpspiCjPtGyktEwfJTcRE9oZHa1i202cx3Canx4KL+UnMAUfkoyXSNGp8Cr1+WSJVnojmsel2wU40REXjfxXVeJdCcSq7RGDoEKaxdRJeO28J8xAa5F6WrEaioWWAPK45wHR8YyMRk3BRk/b/AMcw1qcNqpxX7bf9K/Ky6U9UAIqrdKm6HVpql1BlpmE5WuTo+KdaKllRepTom0PtES8KDjyDEhtRHPl4bn+93DiN0/JrTV4HapdOnKtUIEhTZdYk3EWzGN41X+ETjVV0ImlTbMnkBqsSTR85WoTJnsNYrkT3K66f2Pz7NsrLRK7V5qIie0shMRmq5y8JU+lun3+8oECOcX4Tq2EKiklWIKIqpdkRq3Y9Otq2Ti6lRFTq0oYIpb7QctLRcBpHjon30ONDWGvTdboqfpdbe73E0gAAAAAAHfr8g6lVyoU97bLCixGfS5UOgAAAHo8B4unMGV1tSlGcOGqcGLCVbI9i6bX02VFRFRej4XRd8y+WzB0WTSNFjRWRbf8AqWEquv1XS7f3JjAHuMqGUGNjeegtgwVh0yFf7uGq6VVeN77aL24k0206dKnhwAOWVmIspMwZmXfwYzHI5rupyLdF/UsHBmJpPFlAl6pJOThKiJEZfSyJbS1f4XpSykcmWw3iSr4ZnvbKLOuhxF/EnG1ydTmrod/HQBZpxTczAk5aLMzcVGQGIrnOctkRqaVVV6CfYGXyvNl+DHpUu6N2k4aJ804S/wB0PG4vyg4ixc37qpzSNlOP7mGnBZfrVLqrvmq26AOLKLiX/uvFs7U4d/ZroyCi9EJuhPhfS63QrrHmgAM5gzE87hGvQarIIiqiK17F4nw1tdq9XEi36FRF9xvmUy44Tiyf30w2OyPbTD4F1v7lRbL8VsTUAPd5UMosfG8zBgwIKw6XCVVYxV/xOdxcN1tF7aERL2uulbnhAAAAAAG58y8b/LX9V8wMnlsybzVSmnYkoEBXx1RPaILdLlslke1OlbIiKiadCKnSaGc1WuVrks5ONC4jX2VejUuLSnTsSmwVm1veIsNqvtrWuBLoPuKiJFeicV1PgAAAAAAAAAAAAAAAAAAAABRORSjUqNS4c3FpkF001EVsRYbVci9aOtdAPGZIMmtQqlXlK5WZZYdLhKj2I9LLFemltk7KLZVcuheJL3VUo0AD/9k=">
          <a:extLs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8220075" y="56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285750</xdr:colOff>
      <xdr:row>5</xdr:row>
      <xdr:rowOff>114300</xdr:rowOff>
    </xdr:from>
    <xdr:to>
      <xdr:col>1</xdr:col>
      <xdr:colOff>1018773</xdr:colOff>
      <xdr:row>6</xdr:row>
      <xdr:rowOff>166269</xdr:rowOff>
    </xdr:to>
    <xdr:pic>
      <xdr:nvPicPr>
        <xdr:cNvPr id="4" name="irc_mi" descr="http://sweetclipart.com/multisite/sweetclipart/files/smart_phone_icon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047750"/>
          <a:ext cx="733023" cy="1290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5</xdr:row>
      <xdr:rowOff>790575</xdr:rowOff>
    </xdr:from>
    <xdr:to>
      <xdr:col>4</xdr:col>
      <xdr:colOff>390525</xdr:colOff>
      <xdr:row>5</xdr:row>
      <xdr:rowOff>1076325</xdr:rowOff>
    </xdr:to>
    <xdr:sp macro="" textlink="">
      <xdr:nvSpPr>
        <xdr:cNvPr id="7169" name="Text Box 1">
          <a:extLs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 txBox="1">
          <a:spLocks noChangeArrowheads="1"/>
        </xdr:cNvSpPr>
      </xdr:nvSpPr>
      <xdr:spPr bwMode="auto">
        <a:xfrm>
          <a:off x="2905125" y="1724025"/>
          <a:ext cx="2495550" cy="2857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600" b="0" i="1" strike="noStrike">
              <a:solidFill>
                <a:srgbClr val="000000"/>
              </a:solidFill>
              <a:latin typeface="Book Antiqua"/>
            </a:rPr>
            <a:t>Total Pay Report</a:t>
          </a:r>
        </a:p>
      </xdr:txBody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304800</xdr:colOff>
      <xdr:row>4</xdr:row>
      <xdr:rowOff>123825</xdr:rowOff>
    </xdr:to>
    <xdr:sp macro="" textlink="">
      <xdr:nvSpPr>
        <xdr:cNvPr id="2049" name="AutoShape 1" descr="data:image/jpeg;base64,/9j/4AAQSkZJRgABAQAAAQABAAD/2wCEAAkGBwgHBgkIBwgWFgkVGRcaFRQYGCMgHBwWIBwdHiQdHx4nIygsGyYmJx8eLT0jLiwrLjIyIyszOD84PDQtLisBCgoKBQUFDgUFDisZExkrKysrKysrKysrKysrKysrKysrKysrKysrKysrKysrKysrKysrKysrKysrKysrKysrK//AABEIASoAqQMBIgACEQEDEQH/xAAcAAEBAAIDAQEAAAAAAAAAAAAACAUHAwQGAgH/xABEEAABAgQBBgsFBwIFBQAAAAAAAQIDBAURBgcXIXKTsxIxNjdBUVJVdNHSFGFxgZIIEzKCkaHBVLEiU2JzshUWIzNC/8QAFAEBAAAAAAAAAAAAAAAAAAAAAP/EABQRAQAAAAAAAAAAAAAAAAAAAAD/2gAMAwEAAhEDEQA/APa5T8o0tgqWZLy0NIlXiJdkNfwtbxcN9tNr8SJa9l0oT9WsfYqrUZ0SdrcVGr/8Q3KxiJ1cFtkX4rdTrY5q8SuYuq1QiPujorkb/ttXgtT5NRDBAdp1Sn3KqunYl9dfM+PbZv8Aqn/UpwADn9tm/wCqf9Sn6k9ONW6TT/qXzOuAO1/1Ge/rIn1r5n4s/OuSyzb/AKl8zrADn9tm/wCqf9Sn46amHfimHL+ZThAHIseMqKixXW+KnGAAAAA+2RYjEsyIqJ7lPgAdhs9Nt/DNPT8y+Z8um5l34ph6/mU4QB2oNRnoC3gzsRq+56p/JmqXj3FlKiI+Tr8fVe/ht+l90/Y82AKTyW5VmYqmG0mtQmw6rZVY5uhkS2lURFVeC5E02uqLZbW4jaBEkhORqfPS87KvtHhua9i9Tmqip+6FRZzKT1fuBKoAAAAAAAAAAAAAAAAAAAAAAAAAAHJ99F/zF/U4wAPV4PyfYgxfAiTFKl2pKtWyxIjuC1XaP8KcaqunqseUKjyE828hrxt44DVOY3F3bl9ovpGY3F3bl9ovpKWAE05jcXduX2i+kZjcXduX2i+kpYATTmNxd25faL6RmNxd25faL6SlgBNOY3F3bl9ovpGY3F3bl9ovpKWAE05jcXduX2i+kZjcXduX2i+kpYATTmNxd25faL6RmNxd25faL6SlgBNOY3F3bl9ovpGY3F3bl9ovpKWAE05jcXduX2i+kZjcXduX2i+kpYATTmNxd25faL6TF4kyU4pw9S4lSmoDHyzNL1hP4Stb2lRURbe9L2410aSqjCY45FYg8LMbpwEbgAAVHkJ5t5DXjbxxLhUeQnm3kNeNvHAbAAAAAAAAAAAAAAAAAAAAAADCY35F1/wsxunGbMJjfkXX/CzG6cBG4AAFR5CebeQ1428cS4VHkJ5t5DXjbxwGwAAAAAAAAAAAAAAAAAAAAAAwmN+Rdf8ACzG6cZswmN+Rdf8ACzG6cBG4AAFR5CebeQ1428cS4VHkJ5t5DXjbxwGwAAAAAAAAAAAAAAAAAAAAAAwmN+Rdf8LMbpxmzCY35F1/wsxunARuAABUeQnm3kNeNvHEuFR5CebeQ1428cBsAAAAAAAAAAAAAAAAAAAAAAMJjfkXX/CzG6cZswmN+Rdf8LMbpwEbgAAVHkJ5t5DXjbxxLhUeQnm3kNeNvHAbAAAAAAAAAAAAAAAAAAAAAADCY35F1/wsxunGbMJjfkXX/CzG6cBG4AAFR5CebeQ1428cS4VHkJ5t5DXjbxwGwAAAAAAAAAAAAAAAAAAAAAAwmN+Rdf8ACzG6cZswmN+Rdf8ACzG6cBG4AAFR5CebeQ1428cS4VHkJ5t5DXjbxwGwAAAAAAAAAAAAAAAAAAAAAAwmN+Rdf8LMbpxmzCY35F1/wsxunARuAABUeQnm3kNeNvHEuFR5CebeQ1428cBsAAAAAAAAAAAAAAAAAAAAAAMJjfkXX/CzG6cZswmN+Rdf8LMbpwEbgAAVHkJ5t5DXjbxxLhUeQnm3kNeNvHAbAAAAAAAAAAAAAAAAAAAAAADCY35F1/wsxunGbMJjfkXX/CzG6cBG4AAFR5CebeQ1428cS4VHkJ5t5DXjbxwGwAAAAAAAAAAAAAAAAAAAAAAwmN+Rdf8ACzG6cZswmN+Rdf8ACzG6cBG4AAFR5CebeQ1428cS4VHkJ5t5DXjbxwGwAAAAAAAAAAAAAAAAAAAAAAwmN+Rdf8LMbpxmzCY35F1/wsxunARuAABUeQnm3kNeNvHEuFR5CebeQ1428cBsAAAAAAAAAAAAAAAAAAAAAAMJjfkXX/CzG6cZswmN+Rdf8LMbpwEbgAAbnyR5UaNh3DyUWutezgOe5kRreEio5b2VE0ot1Xotb99MACos8uCe8H7F/kM8uCe8H7F/kS6AKizy4J7wfsX+Qzy4J7wfsX+RLoAqLPLgnvB+xf5DPLgnvB+xf5EugCos8uCe8H7F/kM8uCe8H7F/kS6AKizy4J7wfsX+Qzy4J7wfsX+RNsvQ6vMwEmJelR3QV0o9sJytt8USx0HNcxyte2zk0Ki9YFQ55cE94P2L/IZ5cE94P2L/ACJdAFRZ5cE94P2L/IZ5cE94P2L/ACJdAFRZ5cE94P2L/IZ5cE94P2L/ACJdAFRZ5cE94P2L/IwGOcsOG5rDFQkKOr4s1HhvhJdita1HtVquVV6kVdCIt16uMnwAAAAAAAAAdulU2cq9QgU+my6xJuItmMTjVeP5IiXVVXQiJdTacDIHXHyX3karQGzVtEOzlbfqV9tHyavzO39mmUl31Cuzb2p7SxkFrF6Ua5Xq7/g030BGeJ8N1TC1TdT6zL8GLxtVFu1ze01elP3TpspiCjPtGyktEwfJTcRE9oZHa1i202cx3Canx4KL+UnMAUfkoyXSNGp8Cr1+WSJVnojmsel2wU40REXjfxXVeJdCcSq7RGDoEKaxdRJeO28J8xAa5F6WrEaioWWAPK45wHR8YyMRk3BRk/b/AMcw1qcNqpxX7bf9K/Ky6U9UAIqrdKm6HVpql1BlpmE5WuTo+KdaKllRepTom0PtES8KDjyDEhtRHPl4bn+93DiN0/JrTV4HapdOnKtUIEhTZdYk3EWzGN41X+ETjVV0ImlTbMnkBqsSTR85WoTJnsNYrkT3K66f2Pz7NsrLRK7V5qIie0shMRmq5y8JU+lun3+8oECOcX4Tq2EKiklWIKIqpdkRq3Y9Otq2Ti6lRFTq0oYIpb7QctLRcBpHjon30ONDWGvTdboqfpdbe73E0gAAAAAAHfr8g6lVyoU97bLCixGfS5UOgAAAHo8B4unMGV1tSlGcOGqcGLCVbI9i6bX02VFRFRej4XRd8y+WzB0WTSNFjRWRbf8AqWEquv1XS7f3JjAHuMqGUGNjeegtgwVh0yFf7uGq6VVeN77aL24k0206dKnhwAOWVmIspMwZmXfwYzHI5rupyLdF/UsHBmJpPFlAl6pJOThKiJEZfSyJbS1f4XpSykcmWw3iSr4ZnvbKLOuhxF/EnG1ydTmrod/HQBZpxTczAk5aLMzcVGQGIrnOctkRqaVVV6CfYGXyvNl+DHpUu6N2k4aJ804S/wB0PG4vyg4ixc37qpzSNlOP7mGnBZfrVLqrvmq26AOLKLiX/uvFs7U4d/ZroyCi9EJuhPhfS63QrrHmgAM5gzE87hGvQarIIiqiK17F4nw1tdq9XEi36FRF9xvmUy44Tiyf30w2OyPbTD4F1v7lRbL8VsTUAPd5UMosfG8zBgwIKw6XCVVYxV/xOdxcN1tF7aERL2uulbnhAAAAAAG58y8b/LX9V8wMnlsybzVSmnYkoEBXx1RPaILdLlslke1OlbIiKiadCKnSaGc1WuVrks5ONC4jX2VejUuLSnTsSmwVm1veIsNqvtrWuBLoPuKiJFeicV1PgAAAAAAAAAAAAAAAAAAAABRORSjUqNS4c3FpkF001EVsRYbVci9aOtdAPGZIMmtQqlXlK5WZZYdLhKj2I9LLFemltk7KLZVcuheJL3VUo0AD/9k=">
          <a:extLs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8391525" y="56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285750</xdr:colOff>
      <xdr:row>5</xdr:row>
      <xdr:rowOff>114300</xdr:rowOff>
    </xdr:from>
    <xdr:to>
      <xdr:col>1</xdr:col>
      <xdr:colOff>1018773</xdr:colOff>
      <xdr:row>6</xdr:row>
      <xdr:rowOff>166269</xdr:rowOff>
    </xdr:to>
    <xdr:pic>
      <xdr:nvPicPr>
        <xdr:cNvPr id="6" name="irc_mi" descr="http://sweetclipart.com/multisite/sweetclipart/files/smart_phone_icon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047750"/>
          <a:ext cx="733023" cy="1290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161925</xdr:colOff>
      <xdr:row>5</xdr:row>
      <xdr:rowOff>762000</xdr:rowOff>
    </xdr:from>
    <xdr:to>
      <xdr:col>5</xdr:col>
      <xdr:colOff>1724025</xdr:colOff>
      <xdr:row>5</xdr:row>
      <xdr:rowOff>1000125</xdr:rowOff>
    </xdr:to>
    <xdr:sp macro="" textlink="">
      <xdr:nvSpPr>
        <xdr:cNvPr id="12289" name="Text Box 1">
          <a:extLst>
            <a:ext uri="{FF2B5EF4-FFF2-40B4-BE49-F238E27FC236}">
              <a16:creationId xmlns:a16="http://schemas.microsoft.com/office/drawing/2014/main" id="{00000000-0008-0000-0400-000001300000}"/>
            </a:ext>
          </a:extLst>
        </xdr:cNvPr>
        <xdr:cNvSpPr txBox="1">
          <a:spLocks noChangeArrowheads="1"/>
        </xdr:cNvSpPr>
      </xdr:nvSpPr>
      <xdr:spPr bwMode="auto">
        <a:xfrm>
          <a:off x="2581275" y="1819275"/>
          <a:ext cx="3438525" cy="2381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/>
          <a:r>
            <a:rPr lang="en-US" sz="1100" b="0" i="1">
              <a:effectLst/>
              <a:latin typeface="+mn-lt"/>
              <a:ea typeface="+mn-ea"/>
              <a:cs typeface="+mn-cs"/>
            </a:rPr>
            <a:t>Employee Name Report</a:t>
          </a:r>
          <a:endParaRPr lang="en-US"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1333500</xdr:colOff>
      <xdr:row>4</xdr:row>
      <xdr:rowOff>815916</xdr:rowOff>
    </xdr:from>
    <xdr:to>
      <xdr:col>4</xdr:col>
      <xdr:colOff>449293</xdr:colOff>
      <xdr:row>4</xdr:row>
      <xdr:rowOff>1054041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2019300" y="1663641"/>
          <a:ext cx="3478243" cy="2381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400" b="0" i="1" strike="noStrike">
              <a:solidFill>
                <a:srgbClr val="000000"/>
              </a:solidFill>
              <a:latin typeface="Book Antiqua"/>
            </a:rPr>
            <a:t>Sales</a:t>
          </a:r>
          <a:r>
            <a:rPr lang="en-US" sz="1400" b="0" i="1" strike="noStrike" baseline="0">
              <a:solidFill>
                <a:srgbClr val="000000"/>
              </a:solidFill>
              <a:latin typeface="Book Antiqua"/>
            </a:rPr>
            <a:t> Summary</a:t>
          </a:r>
          <a:endParaRPr lang="en-US" sz="1400" b="0" i="1" strike="noStrike">
            <a:solidFill>
              <a:srgbClr val="000000"/>
            </a:solidFill>
            <a:latin typeface="Book Antiqua"/>
          </a:endParaRPr>
        </a:p>
      </xdr:txBody>
    </xdr:sp>
    <xdr:clientData/>
  </xdr:twoCellAnchor>
  <xdr:twoCellAnchor editAs="oneCell">
    <xdr:from>
      <xdr:col>1</xdr:col>
      <xdr:colOff>233633</xdr:colOff>
      <xdr:row>4</xdr:row>
      <xdr:rowOff>89859</xdr:rowOff>
    </xdr:from>
    <xdr:to>
      <xdr:col>1</xdr:col>
      <xdr:colOff>966656</xdr:colOff>
      <xdr:row>5</xdr:row>
      <xdr:rowOff>184960</xdr:rowOff>
    </xdr:to>
    <xdr:pic>
      <xdr:nvPicPr>
        <xdr:cNvPr id="3" name="irc_mi" descr="http://sweetclipart.com/multisite/sweetclipart/files/smart_phone_icon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33" y="937584"/>
          <a:ext cx="733023" cy="1288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1333500</xdr:colOff>
      <xdr:row>4</xdr:row>
      <xdr:rowOff>815916</xdr:rowOff>
    </xdr:from>
    <xdr:to>
      <xdr:col>3</xdr:col>
      <xdr:colOff>449293</xdr:colOff>
      <xdr:row>4</xdr:row>
      <xdr:rowOff>1054041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1609725" y="1663641"/>
          <a:ext cx="2954368" cy="2381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400" b="0" i="1" strike="noStrike">
              <a:solidFill>
                <a:srgbClr val="000000"/>
              </a:solidFill>
              <a:latin typeface="Book Antiqua"/>
            </a:rPr>
            <a:t>Sales</a:t>
          </a:r>
          <a:r>
            <a:rPr lang="en-US" sz="1400" b="0" i="1" strike="noStrike" baseline="0">
              <a:solidFill>
                <a:srgbClr val="000000"/>
              </a:solidFill>
              <a:latin typeface="Book Antiqua"/>
            </a:rPr>
            <a:t> Summary</a:t>
          </a:r>
          <a:endParaRPr lang="en-US" sz="1400" b="0" i="1" strike="noStrike">
            <a:solidFill>
              <a:srgbClr val="000000"/>
            </a:solidFill>
            <a:latin typeface="Book Antiqua"/>
          </a:endParaRPr>
        </a:p>
      </xdr:txBody>
    </xdr:sp>
    <xdr:clientData/>
  </xdr:twoCellAnchor>
  <xdr:twoCellAnchor editAs="oneCell">
    <xdr:from>
      <xdr:col>1</xdr:col>
      <xdr:colOff>233633</xdr:colOff>
      <xdr:row>4</xdr:row>
      <xdr:rowOff>89859</xdr:rowOff>
    </xdr:from>
    <xdr:to>
      <xdr:col>1</xdr:col>
      <xdr:colOff>966656</xdr:colOff>
      <xdr:row>5</xdr:row>
      <xdr:rowOff>184960</xdr:rowOff>
    </xdr:to>
    <xdr:pic>
      <xdr:nvPicPr>
        <xdr:cNvPr id="3" name="irc_mi" descr="http://sweetclipart.com/multisite/sweetclipart/files/smart_phone_icon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9858" y="937584"/>
          <a:ext cx="733023" cy="12857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10</xdr:row>
      <xdr:rowOff>28575</xdr:rowOff>
    </xdr:from>
    <xdr:to>
      <xdr:col>4</xdr:col>
      <xdr:colOff>457200</xdr:colOff>
      <xdr:row>16</xdr:row>
      <xdr:rowOff>57150</xdr:rowOff>
    </xdr:to>
    <xdr:sp macro="" textlink="">
      <xdr:nvSpPr>
        <xdr:cNvPr id="16385" name="Text Box 1">
          <a:extLst>
            <a:ext uri="{FF2B5EF4-FFF2-40B4-BE49-F238E27FC236}">
              <a16:creationId xmlns:a16="http://schemas.microsoft.com/office/drawing/2014/main" id="{00000000-0008-0000-0600-000001400000}"/>
            </a:ext>
          </a:extLst>
        </xdr:cNvPr>
        <xdr:cNvSpPr txBox="1">
          <a:spLocks noChangeArrowheads="1"/>
        </xdr:cNvSpPr>
      </xdr:nvSpPr>
      <xdr:spPr bwMode="auto">
        <a:xfrm>
          <a:off x="885825" y="1743075"/>
          <a:ext cx="2085975" cy="1000125"/>
        </a:xfrm>
        <a:prstGeom prst="rect">
          <a:avLst/>
        </a:prstGeom>
        <a:solidFill>
          <a:srgbClr val="CFDFD3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91440" rIns="91440" bIns="9144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Monthly Returns on Philip Morris stock in the 83 months from 1990 to mid-1997. The minimum return is -26.6 and the maximum return is 19.2.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514350</xdr:colOff>
      <xdr:row>21</xdr:row>
      <xdr:rowOff>142875</xdr:rowOff>
    </xdr:from>
    <xdr:to>
      <xdr:col>10</xdr:col>
      <xdr:colOff>227764</xdr:colOff>
      <xdr:row>42</xdr:row>
      <xdr:rowOff>170971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350" y="4114800"/>
          <a:ext cx="6685714" cy="3828571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390525</xdr:colOff>
      <xdr:row>44</xdr:row>
      <xdr:rowOff>0</xdr:rowOff>
    </xdr:from>
    <xdr:to>
      <xdr:col>1</xdr:col>
      <xdr:colOff>523875</xdr:colOff>
      <xdr:row>44</xdr:row>
      <xdr:rowOff>133350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ChangeArrowheads="1"/>
        </xdr:cNvSpPr>
      </xdr:nvSpPr>
      <xdr:spPr bwMode="auto">
        <a:xfrm>
          <a:off x="1000125" y="5391150"/>
          <a:ext cx="133350" cy="133350"/>
        </a:xfrm>
        <a:prstGeom prst="rect">
          <a:avLst/>
        </a:prstGeom>
        <a:solidFill>
          <a:srgbClr val="333399"/>
        </a:solidFill>
        <a:ln w="9525">
          <a:solidFill>
            <a:srgbClr val="333399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390525</xdr:colOff>
      <xdr:row>27</xdr:row>
      <xdr:rowOff>0</xdr:rowOff>
    </xdr:from>
    <xdr:to>
      <xdr:col>1</xdr:col>
      <xdr:colOff>523875</xdr:colOff>
      <xdr:row>27</xdr:row>
      <xdr:rowOff>133350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>
          <a:spLocks noChangeArrowheads="1"/>
        </xdr:cNvSpPr>
      </xdr:nvSpPr>
      <xdr:spPr bwMode="auto">
        <a:xfrm>
          <a:off x="1000125" y="4581525"/>
          <a:ext cx="133350" cy="133350"/>
        </a:xfrm>
        <a:prstGeom prst="rect">
          <a:avLst/>
        </a:prstGeom>
        <a:solidFill>
          <a:srgbClr val="333399"/>
        </a:solidFill>
        <a:ln w="9525">
          <a:solidFill>
            <a:srgbClr val="333399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390525</xdr:colOff>
      <xdr:row>22</xdr:row>
      <xdr:rowOff>0</xdr:rowOff>
    </xdr:from>
    <xdr:to>
      <xdr:col>1</xdr:col>
      <xdr:colOff>523875</xdr:colOff>
      <xdr:row>22</xdr:row>
      <xdr:rowOff>133350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 noChangeArrowheads="1"/>
        </xdr:cNvSpPr>
      </xdr:nvSpPr>
      <xdr:spPr bwMode="auto">
        <a:xfrm>
          <a:off x="1000125" y="3771900"/>
          <a:ext cx="133350" cy="133350"/>
        </a:xfrm>
        <a:prstGeom prst="rect">
          <a:avLst/>
        </a:prstGeom>
        <a:solidFill>
          <a:srgbClr val="333399"/>
        </a:solidFill>
        <a:ln w="9525">
          <a:solidFill>
            <a:srgbClr val="333399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390525</xdr:colOff>
      <xdr:row>18</xdr:row>
      <xdr:rowOff>0</xdr:rowOff>
    </xdr:from>
    <xdr:to>
      <xdr:col>1</xdr:col>
      <xdr:colOff>523875</xdr:colOff>
      <xdr:row>18</xdr:row>
      <xdr:rowOff>133350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>
          <a:spLocks noChangeArrowheads="1"/>
        </xdr:cNvSpPr>
      </xdr:nvSpPr>
      <xdr:spPr bwMode="auto">
        <a:xfrm>
          <a:off x="1000125" y="3124200"/>
          <a:ext cx="133350" cy="133350"/>
        </a:xfrm>
        <a:prstGeom prst="rect">
          <a:avLst/>
        </a:prstGeom>
        <a:solidFill>
          <a:srgbClr val="333399"/>
        </a:solidFill>
        <a:ln w="9525">
          <a:solidFill>
            <a:srgbClr val="333399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390525</xdr:colOff>
      <xdr:row>14</xdr:row>
      <xdr:rowOff>0</xdr:rowOff>
    </xdr:from>
    <xdr:to>
      <xdr:col>1</xdr:col>
      <xdr:colOff>523875</xdr:colOff>
      <xdr:row>14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>
          <a:spLocks noChangeArrowheads="1"/>
        </xdr:cNvSpPr>
      </xdr:nvSpPr>
      <xdr:spPr bwMode="auto">
        <a:xfrm>
          <a:off x="1000125" y="2476500"/>
          <a:ext cx="133350" cy="133350"/>
        </a:xfrm>
        <a:prstGeom prst="rect">
          <a:avLst/>
        </a:prstGeom>
        <a:solidFill>
          <a:srgbClr val="333399"/>
        </a:solidFill>
        <a:ln w="9525">
          <a:solidFill>
            <a:srgbClr val="333399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390525</xdr:colOff>
      <xdr:row>7</xdr:row>
      <xdr:rowOff>0</xdr:rowOff>
    </xdr:from>
    <xdr:to>
      <xdr:col>1</xdr:col>
      <xdr:colOff>523875</xdr:colOff>
      <xdr:row>7</xdr:row>
      <xdr:rowOff>133350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>
          <a:spLocks noChangeArrowheads="1"/>
        </xdr:cNvSpPr>
      </xdr:nvSpPr>
      <xdr:spPr bwMode="auto">
        <a:xfrm>
          <a:off x="1000125" y="1343025"/>
          <a:ext cx="133350" cy="133350"/>
        </a:xfrm>
        <a:prstGeom prst="rect">
          <a:avLst/>
        </a:prstGeom>
        <a:solidFill>
          <a:srgbClr val="333399"/>
        </a:solidFill>
        <a:ln w="9525">
          <a:solidFill>
            <a:srgbClr val="333399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400050</xdr:colOff>
      <xdr:row>38</xdr:row>
      <xdr:rowOff>9525</xdr:rowOff>
    </xdr:from>
    <xdr:to>
      <xdr:col>1</xdr:col>
      <xdr:colOff>533400</xdr:colOff>
      <xdr:row>38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>
          <a:spLocks noChangeArrowheads="1"/>
        </xdr:cNvSpPr>
      </xdr:nvSpPr>
      <xdr:spPr bwMode="auto">
        <a:xfrm>
          <a:off x="1085850" y="6572250"/>
          <a:ext cx="133350" cy="133350"/>
        </a:xfrm>
        <a:prstGeom prst="rect">
          <a:avLst/>
        </a:prstGeom>
        <a:solidFill>
          <a:srgbClr val="333399"/>
        </a:solidFill>
        <a:ln w="9525">
          <a:solidFill>
            <a:srgbClr val="333399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409575</xdr:colOff>
      <xdr:row>33</xdr:row>
      <xdr:rowOff>0</xdr:rowOff>
    </xdr:from>
    <xdr:to>
      <xdr:col>1</xdr:col>
      <xdr:colOff>542925</xdr:colOff>
      <xdr:row>33</xdr:row>
      <xdr:rowOff>133350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>
          <a:spLocks noChangeArrowheads="1"/>
        </xdr:cNvSpPr>
      </xdr:nvSpPr>
      <xdr:spPr bwMode="auto">
        <a:xfrm>
          <a:off x="1095375" y="5591175"/>
          <a:ext cx="133350" cy="133350"/>
        </a:xfrm>
        <a:prstGeom prst="rect">
          <a:avLst/>
        </a:prstGeom>
        <a:solidFill>
          <a:srgbClr val="333399"/>
        </a:solidFill>
        <a:ln w="9525">
          <a:solidFill>
            <a:srgbClr val="333399"/>
          </a:solidFill>
          <a:miter lim="800000"/>
          <a:headEnd/>
          <a:tailEnd/>
        </a:ln>
      </xdr:spPr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Excel_Challenge_Test_Solve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aleed Alsudany" refreshedDate="44321.608712615744" createdVersion="6" refreshedVersion="6" minRefreshableVersion="3" recordCount="216">
  <cacheSource type="worksheet">
    <worksheetSource ref="C8:G224" sheet="Task 8- Pivot Tables" r:id="rId2"/>
  </cacheSource>
  <cacheFields count="5">
    <cacheField name="Season" numFmtId="0">
      <sharedItems count="4">
        <s v="Fall"/>
        <s v="Spring"/>
        <s v="Summer"/>
        <s v="Winter"/>
      </sharedItems>
    </cacheField>
    <cacheField name="Year" numFmtId="0">
      <sharedItems containsSemiMixedTypes="0" containsString="0" containsNumber="1" containsInteger="1" minValue="2004" maxValue="2006" count="3">
        <n v="2004"/>
        <n v="2005"/>
        <n v="2006"/>
      </sharedItems>
    </cacheField>
    <cacheField name="Type" numFmtId="0">
      <sharedItems count="6">
        <s v="Amber Ale"/>
        <s v="Hefeweizen"/>
        <s v="Pale Ale"/>
        <s v="Pilsner"/>
        <s v="Porter"/>
        <s v="Stout"/>
      </sharedItems>
    </cacheField>
    <cacheField name="State" numFmtId="0">
      <sharedItems count="3">
        <s v="California"/>
        <s v="Oregon"/>
        <s v="Washington"/>
      </sharedItems>
    </cacheField>
    <cacheField name="Sales $" numFmtId="0">
      <sharedItems containsSemiMixedTypes="0" containsString="0" containsNumber="1" containsInteger="1" minValue="319614" maxValue="709122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6">
  <r>
    <x v="0"/>
    <x v="0"/>
    <x v="0"/>
    <x v="0"/>
    <n v="554536"/>
  </r>
  <r>
    <x v="0"/>
    <x v="0"/>
    <x v="1"/>
    <x v="0"/>
    <n v="540643"/>
  </r>
  <r>
    <x v="0"/>
    <x v="0"/>
    <x v="2"/>
    <x v="0"/>
    <n v="577548"/>
  </r>
  <r>
    <x v="0"/>
    <x v="0"/>
    <x v="3"/>
    <x v="0"/>
    <n v="455905"/>
  </r>
  <r>
    <x v="0"/>
    <x v="0"/>
    <x v="4"/>
    <x v="0"/>
    <n v="490871"/>
  </r>
  <r>
    <x v="0"/>
    <x v="0"/>
    <x v="5"/>
    <x v="0"/>
    <n v="446383"/>
  </r>
  <r>
    <x v="0"/>
    <x v="0"/>
    <x v="0"/>
    <x v="1"/>
    <n v="457726"/>
  </r>
  <r>
    <x v="0"/>
    <x v="0"/>
    <x v="1"/>
    <x v="1"/>
    <n v="347696"/>
  </r>
  <r>
    <x v="0"/>
    <x v="0"/>
    <x v="2"/>
    <x v="1"/>
    <n v="384541"/>
  </r>
  <r>
    <x v="0"/>
    <x v="0"/>
    <x v="3"/>
    <x v="1"/>
    <n v="386420"/>
  </r>
  <r>
    <x v="0"/>
    <x v="0"/>
    <x v="4"/>
    <x v="1"/>
    <n v="370970"/>
  </r>
  <r>
    <x v="0"/>
    <x v="0"/>
    <x v="5"/>
    <x v="1"/>
    <n v="430754"/>
  </r>
  <r>
    <x v="0"/>
    <x v="0"/>
    <x v="0"/>
    <x v="2"/>
    <n v="500847"/>
  </r>
  <r>
    <x v="0"/>
    <x v="0"/>
    <x v="1"/>
    <x v="2"/>
    <n v="507070"/>
  </r>
  <r>
    <x v="0"/>
    <x v="0"/>
    <x v="2"/>
    <x v="2"/>
    <n v="482346"/>
  </r>
  <r>
    <x v="0"/>
    <x v="0"/>
    <x v="3"/>
    <x v="2"/>
    <n v="608713"/>
  </r>
  <r>
    <x v="0"/>
    <x v="0"/>
    <x v="4"/>
    <x v="2"/>
    <n v="554127"/>
  </r>
  <r>
    <x v="0"/>
    <x v="0"/>
    <x v="5"/>
    <x v="2"/>
    <n v="500649"/>
  </r>
  <r>
    <x v="1"/>
    <x v="0"/>
    <x v="0"/>
    <x v="0"/>
    <n v="545780"/>
  </r>
  <r>
    <x v="1"/>
    <x v="0"/>
    <x v="1"/>
    <x v="0"/>
    <n v="440644"/>
  </r>
  <r>
    <x v="1"/>
    <x v="0"/>
    <x v="2"/>
    <x v="0"/>
    <n v="580359"/>
  </r>
  <r>
    <x v="1"/>
    <x v="0"/>
    <x v="3"/>
    <x v="0"/>
    <n v="536225"/>
  </r>
  <r>
    <x v="1"/>
    <x v="0"/>
    <x v="4"/>
    <x v="0"/>
    <n v="414908"/>
  </r>
  <r>
    <x v="1"/>
    <x v="0"/>
    <x v="5"/>
    <x v="0"/>
    <n v="377997"/>
  </r>
  <r>
    <x v="1"/>
    <x v="0"/>
    <x v="0"/>
    <x v="1"/>
    <n v="331289"/>
  </r>
  <r>
    <x v="1"/>
    <x v="0"/>
    <x v="1"/>
    <x v="1"/>
    <n v="384572"/>
  </r>
  <r>
    <x v="1"/>
    <x v="0"/>
    <x v="2"/>
    <x v="1"/>
    <n v="365813"/>
  </r>
  <r>
    <x v="1"/>
    <x v="0"/>
    <x v="3"/>
    <x v="1"/>
    <n v="396338"/>
  </r>
  <r>
    <x v="1"/>
    <x v="0"/>
    <x v="4"/>
    <x v="1"/>
    <n v="453761"/>
  </r>
  <r>
    <x v="1"/>
    <x v="0"/>
    <x v="5"/>
    <x v="1"/>
    <n v="356538"/>
  </r>
  <r>
    <x v="1"/>
    <x v="0"/>
    <x v="0"/>
    <x v="2"/>
    <n v="606332"/>
  </r>
  <r>
    <x v="1"/>
    <x v="0"/>
    <x v="1"/>
    <x v="2"/>
    <n v="535218"/>
  </r>
  <r>
    <x v="1"/>
    <x v="0"/>
    <x v="2"/>
    <x v="2"/>
    <n v="493364"/>
  </r>
  <r>
    <x v="1"/>
    <x v="0"/>
    <x v="3"/>
    <x v="2"/>
    <n v="559100"/>
  </r>
  <r>
    <x v="1"/>
    <x v="0"/>
    <x v="4"/>
    <x v="2"/>
    <n v="520592"/>
  </r>
  <r>
    <x v="1"/>
    <x v="0"/>
    <x v="5"/>
    <x v="2"/>
    <n v="476975"/>
  </r>
  <r>
    <x v="2"/>
    <x v="0"/>
    <x v="0"/>
    <x v="0"/>
    <n v="545621"/>
  </r>
  <r>
    <x v="2"/>
    <x v="0"/>
    <x v="1"/>
    <x v="0"/>
    <n v="489255"/>
  </r>
  <r>
    <x v="2"/>
    <x v="0"/>
    <x v="2"/>
    <x v="0"/>
    <n v="523124"/>
  </r>
  <r>
    <x v="2"/>
    <x v="0"/>
    <x v="3"/>
    <x v="0"/>
    <n v="612216"/>
  </r>
  <r>
    <x v="2"/>
    <x v="0"/>
    <x v="4"/>
    <x v="0"/>
    <n v="425562"/>
  </r>
  <r>
    <x v="2"/>
    <x v="0"/>
    <x v="5"/>
    <x v="0"/>
    <n v="485285"/>
  </r>
  <r>
    <x v="2"/>
    <x v="0"/>
    <x v="0"/>
    <x v="1"/>
    <n v="467173"/>
  </r>
  <r>
    <x v="2"/>
    <x v="0"/>
    <x v="1"/>
    <x v="1"/>
    <n v="447637"/>
  </r>
  <r>
    <x v="2"/>
    <x v="0"/>
    <x v="2"/>
    <x v="1"/>
    <n v="407542"/>
  </r>
  <r>
    <x v="2"/>
    <x v="0"/>
    <x v="3"/>
    <x v="1"/>
    <n v="449575"/>
  </r>
  <r>
    <x v="2"/>
    <x v="0"/>
    <x v="4"/>
    <x v="1"/>
    <n v="403248"/>
  </r>
  <r>
    <x v="2"/>
    <x v="0"/>
    <x v="5"/>
    <x v="1"/>
    <n v="449293"/>
  </r>
  <r>
    <x v="2"/>
    <x v="0"/>
    <x v="0"/>
    <x v="2"/>
    <n v="493845"/>
  </r>
  <r>
    <x v="2"/>
    <x v="0"/>
    <x v="1"/>
    <x v="2"/>
    <n v="523464"/>
  </r>
  <r>
    <x v="2"/>
    <x v="0"/>
    <x v="2"/>
    <x v="2"/>
    <n v="575692"/>
  </r>
  <r>
    <x v="2"/>
    <x v="0"/>
    <x v="3"/>
    <x v="2"/>
    <n v="568633"/>
  </r>
  <r>
    <x v="2"/>
    <x v="0"/>
    <x v="4"/>
    <x v="2"/>
    <n v="608569"/>
  </r>
  <r>
    <x v="2"/>
    <x v="0"/>
    <x v="5"/>
    <x v="2"/>
    <n v="487012"/>
  </r>
  <r>
    <x v="3"/>
    <x v="0"/>
    <x v="0"/>
    <x v="0"/>
    <n v="519177"/>
  </r>
  <r>
    <x v="3"/>
    <x v="0"/>
    <x v="1"/>
    <x v="0"/>
    <n v="488597"/>
  </r>
  <r>
    <x v="3"/>
    <x v="0"/>
    <x v="2"/>
    <x v="0"/>
    <n v="456653"/>
  </r>
  <r>
    <x v="3"/>
    <x v="0"/>
    <x v="3"/>
    <x v="0"/>
    <n v="528843"/>
  </r>
  <r>
    <x v="3"/>
    <x v="0"/>
    <x v="4"/>
    <x v="0"/>
    <n v="420782"/>
  </r>
  <r>
    <x v="3"/>
    <x v="0"/>
    <x v="5"/>
    <x v="0"/>
    <n v="439751"/>
  </r>
  <r>
    <x v="3"/>
    <x v="0"/>
    <x v="0"/>
    <x v="1"/>
    <n v="348503"/>
  </r>
  <r>
    <x v="3"/>
    <x v="0"/>
    <x v="1"/>
    <x v="1"/>
    <n v="352086"/>
  </r>
  <r>
    <x v="3"/>
    <x v="0"/>
    <x v="2"/>
    <x v="1"/>
    <n v="336824"/>
  </r>
  <r>
    <x v="3"/>
    <x v="0"/>
    <x v="3"/>
    <x v="1"/>
    <n v="350924"/>
  </r>
  <r>
    <x v="3"/>
    <x v="0"/>
    <x v="4"/>
    <x v="1"/>
    <n v="338334"/>
  </r>
  <r>
    <x v="3"/>
    <x v="0"/>
    <x v="5"/>
    <x v="1"/>
    <n v="383738"/>
  </r>
  <r>
    <x v="3"/>
    <x v="0"/>
    <x v="0"/>
    <x v="2"/>
    <n v="508939"/>
  </r>
  <r>
    <x v="3"/>
    <x v="0"/>
    <x v="1"/>
    <x v="2"/>
    <n v="393294"/>
  </r>
  <r>
    <x v="3"/>
    <x v="0"/>
    <x v="2"/>
    <x v="2"/>
    <n v="430380"/>
  </r>
  <r>
    <x v="3"/>
    <x v="0"/>
    <x v="3"/>
    <x v="2"/>
    <n v="390741"/>
  </r>
  <r>
    <x v="3"/>
    <x v="0"/>
    <x v="4"/>
    <x v="2"/>
    <n v="500437"/>
  </r>
  <r>
    <x v="3"/>
    <x v="0"/>
    <x v="5"/>
    <x v="2"/>
    <n v="522282"/>
  </r>
  <r>
    <x v="0"/>
    <x v="1"/>
    <x v="0"/>
    <x v="0"/>
    <n v="514649"/>
  </r>
  <r>
    <x v="0"/>
    <x v="1"/>
    <x v="1"/>
    <x v="0"/>
    <n v="498673"/>
  </r>
  <r>
    <x v="0"/>
    <x v="1"/>
    <x v="2"/>
    <x v="0"/>
    <n v="541930"/>
  </r>
  <r>
    <x v="0"/>
    <x v="1"/>
    <x v="3"/>
    <x v="0"/>
    <n v="541022"/>
  </r>
  <r>
    <x v="0"/>
    <x v="1"/>
    <x v="4"/>
    <x v="0"/>
    <n v="487516"/>
  </r>
  <r>
    <x v="0"/>
    <x v="1"/>
    <x v="5"/>
    <x v="0"/>
    <n v="558787"/>
  </r>
  <r>
    <x v="0"/>
    <x v="1"/>
    <x v="0"/>
    <x v="1"/>
    <n v="393690"/>
  </r>
  <r>
    <x v="0"/>
    <x v="1"/>
    <x v="1"/>
    <x v="1"/>
    <n v="427784"/>
  </r>
  <r>
    <x v="0"/>
    <x v="1"/>
    <x v="2"/>
    <x v="1"/>
    <n v="386772"/>
  </r>
  <r>
    <x v="0"/>
    <x v="1"/>
    <x v="3"/>
    <x v="1"/>
    <n v="430461"/>
  </r>
  <r>
    <x v="0"/>
    <x v="1"/>
    <x v="4"/>
    <x v="1"/>
    <n v="481311"/>
  </r>
  <r>
    <x v="0"/>
    <x v="1"/>
    <x v="5"/>
    <x v="1"/>
    <n v="529637"/>
  </r>
  <r>
    <x v="0"/>
    <x v="1"/>
    <x v="0"/>
    <x v="2"/>
    <n v="596707"/>
  </r>
  <r>
    <x v="0"/>
    <x v="1"/>
    <x v="1"/>
    <x v="2"/>
    <n v="541275"/>
  </r>
  <r>
    <x v="0"/>
    <x v="1"/>
    <x v="2"/>
    <x v="2"/>
    <n v="574091"/>
  </r>
  <r>
    <x v="0"/>
    <x v="1"/>
    <x v="3"/>
    <x v="2"/>
    <n v="567246"/>
  </r>
  <r>
    <x v="0"/>
    <x v="1"/>
    <x v="4"/>
    <x v="2"/>
    <n v="530193"/>
  </r>
  <r>
    <x v="0"/>
    <x v="1"/>
    <x v="5"/>
    <x v="2"/>
    <n v="475884"/>
  </r>
  <r>
    <x v="1"/>
    <x v="1"/>
    <x v="0"/>
    <x v="0"/>
    <n v="533691"/>
  </r>
  <r>
    <x v="1"/>
    <x v="1"/>
    <x v="1"/>
    <x v="0"/>
    <n v="534352"/>
  </r>
  <r>
    <x v="1"/>
    <x v="1"/>
    <x v="2"/>
    <x v="0"/>
    <n v="588845"/>
  </r>
  <r>
    <x v="1"/>
    <x v="1"/>
    <x v="3"/>
    <x v="0"/>
    <n v="513750"/>
  </r>
  <r>
    <x v="1"/>
    <x v="1"/>
    <x v="4"/>
    <x v="0"/>
    <n v="516692"/>
  </r>
  <r>
    <x v="1"/>
    <x v="1"/>
    <x v="5"/>
    <x v="0"/>
    <n v="539883"/>
  </r>
  <r>
    <x v="1"/>
    <x v="1"/>
    <x v="0"/>
    <x v="1"/>
    <n v="418483"/>
  </r>
  <r>
    <x v="1"/>
    <x v="1"/>
    <x v="1"/>
    <x v="1"/>
    <n v="452955"/>
  </r>
  <r>
    <x v="1"/>
    <x v="1"/>
    <x v="2"/>
    <x v="1"/>
    <n v="432909"/>
  </r>
  <r>
    <x v="1"/>
    <x v="1"/>
    <x v="3"/>
    <x v="1"/>
    <n v="493853"/>
  </r>
  <r>
    <x v="1"/>
    <x v="1"/>
    <x v="4"/>
    <x v="1"/>
    <n v="393368"/>
  </r>
  <r>
    <x v="1"/>
    <x v="1"/>
    <x v="5"/>
    <x v="1"/>
    <n v="405946"/>
  </r>
  <r>
    <x v="1"/>
    <x v="1"/>
    <x v="0"/>
    <x v="2"/>
    <n v="561874"/>
  </r>
  <r>
    <x v="1"/>
    <x v="1"/>
    <x v="1"/>
    <x v="2"/>
    <n v="544747"/>
  </r>
  <r>
    <x v="1"/>
    <x v="1"/>
    <x v="2"/>
    <x v="2"/>
    <n v="470339"/>
  </r>
  <r>
    <x v="1"/>
    <x v="1"/>
    <x v="3"/>
    <x v="2"/>
    <n v="530410"/>
  </r>
  <r>
    <x v="1"/>
    <x v="1"/>
    <x v="4"/>
    <x v="2"/>
    <n v="455378"/>
  </r>
  <r>
    <x v="1"/>
    <x v="1"/>
    <x v="5"/>
    <x v="2"/>
    <n v="668180"/>
  </r>
  <r>
    <x v="2"/>
    <x v="1"/>
    <x v="0"/>
    <x v="0"/>
    <n v="597626"/>
  </r>
  <r>
    <x v="2"/>
    <x v="1"/>
    <x v="1"/>
    <x v="0"/>
    <n v="612909"/>
  </r>
  <r>
    <x v="2"/>
    <x v="1"/>
    <x v="2"/>
    <x v="0"/>
    <n v="585669"/>
  </r>
  <r>
    <x v="2"/>
    <x v="1"/>
    <x v="3"/>
    <x v="0"/>
    <n v="641282"/>
  </r>
  <r>
    <x v="2"/>
    <x v="1"/>
    <x v="4"/>
    <x v="0"/>
    <n v="447013"/>
  </r>
  <r>
    <x v="2"/>
    <x v="1"/>
    <x v="5"/>
    <x v="0"/>
    <n v="476238"/>
  </r>
  <r>
    <x v="2"/>
    <x v="1"/>
    <x v="0"/>
    <x v="1"/>
    <n v="421466"/>
  </r>
  <r>
    <x v="2"/>
    <x v="1"/>
    <x v="1"/>
    <x v="1"/>
    <n v="427983"/>
  </r>
  <r>
    <x v="2"/>
    <x v="1"/>
    <x v="2"/>
    <x v="1"/>
    <n v="429498"/>
  </r>
  <r>
    <x v="2"/>
    <x v="1"/>
    <x v="3"/>
    <x v="1"/>
    <n v="544597"/>
  </r>
  <r>
    <x v="2"/>
    <x v="1"/>
    <x v="4"/>
    <x v="1"/>
    <n v="446014"/>
  </r>
  <r>
    <x v="2"/>
    <x v="1"/>
    <x v="5"/>
    <x v="1"/>
    <n v="487611"/>
  </r>
  <r>
    <x v="2"/>
    <x v="1"/>
    <x v="0"/>
    <x v="2"/>
    <n v="565106"/>
  </r>
  <r>
    <x v="2"/>
    <x v="1"/>
    <x v="1"/>
    <x v="2"/>
    <n v="567487"/>
  </r>
  <r>
    <x v="2"/>
    <x v="1"/>
    <x v="2"/>
    <x v="2"/>
    <n v="538648"/>
  </r>
  <r>
    <x v="2"/>
    <x v="1"/>
    <x v="3"/>
    <x v="2"/>
    <n v="708608"/>
  </r>
  <r>
    <x v="2"/>
    <x v="1"/>
    <x v="4"/>
    <x v="2"/>
    <n v="634104"/>
  </r>
  <r>
    <x v="2"/>
    <x v="1"/>
    <x v="5"/>
    <x v="2"/>
    <n v="522179"/>
  </r>
  <r>
    <x v="3"/>
    <x v="1"/>
    <x v="0"/>
    <x v="0"/>
    <n v="511406"/>
  </r>
  <r>
    <x v="3"/>
    <x v="1"/>
    <x v="1"/>
    <x v="0"/>
    <n v="487020"/>
  </r>
  <r>
    <x v="3"/>
    <x v="1"/>
    <x v="2"/>
    <x v="0"/>
    <n v="563504"/>
  </r>
  <r>
    <x v="3"/>
    <x v="1"/>
    <x v="3"/>
    <x v="0"/>
    <n v="565428"/>
  </r>
  <r>
    <x v="3"/>
    <x v="1"/>
    <x v="4"/>
    <x v="0"/>
    <n v="380743"/>
  </r>
  <r>
    <x v="3"/>
    <x v="1"/>
    <x v="5"/>
    <x v="0"/>
    <n v="351971"/>
  </r>
  <r>
    <x v="3"/>
    <x v="1"/>
    <x v="0"/>
    <x v="1"/>
    <n v="388646"/>
  </r>
  <r>
    <x v="3"/>
    <x v="1"/>
    <x v="1"/>
    <x v="1"/>
    <n v="337401"/>
  </r>
  <r>
    <x v="3"/>
    <x v="1"/>
    <x v="2"/>
    <x v="1"/>
    <n v="441713"/>
  </r>
  <r>
    <x v="3"/>
    <x v="1"/>
    <x v="3"/>
    <x v="1"/>
    <n v="438764"/>
  </r>
  <r>
    <x v="3"/>
    <x v="1"/>
    <x v="4"/>
    <x v="1"/>
    <n v="378201"/>
  </r>
  <r>
    <x v="3"/>
    <x v="1"/>
    <x v="5"/>
    <x v="1"/>
    <n v="413519"/>
  </r>
  <r>
    <x v="3"/>
    <x v="1"/>
    <x v="0"/>
    <x v="2"/>
    <n v="516512"/>
  </r>
  <r>
    <x v="3"/>
    <x v="1"/>
    <x v="1"/>
    <x v="2"/>
    <n v="494282"/>
  </r>
  <r>
    <x v="3"/>
    <x v="1"/>
    <x v="2"/>
    <x v="2"/>
    <n v="538958"/>
  </r>
  <r>
    <x v="3"/>
    <x v="1"/>
    <x v="3"/>
    <x v="2"/>
    <n v="502214"/>
  </r>
  <r>
    <x v="3"/>
    <x v="1"/>
    <x v="4"/>
    <x v="2"/>
    <n v="539525"/>
  </r>
  <r>
    <x v="3"/>
    <x v="1"/>
    <x v="5"/>
    <x v="2"/>
    <n v="517806"/>
  </r>
  <r>
    <x v="0"/>
    <x v="2"/>
    <x v="0"/>
    <x v="0"/>
    <n v="625097"/>
  </r>
  <r>
    <x v="0"/>
    <x v="2"/>
    <x v="1"/>
    <x v="0"/>
    <n v="632542"/>
  </r>
  <r>
    <x v="0"/>
    <x v="2"/>
    <x v="2"/>
    <x v="0"/>
    <n v="565957"/>
  </r>
  <r>
    <x v="0"/>
    <x v="2"/>
    <x v="3"/>
    <x v="0"/>
    <n v="609354"/>
  </r>
  <r>
    <x v="0"/>
    <x v="2"/>
    <x v="4"/>
    <x v="0"/>
    <n v="501393"/>
  </r>
  <r>
    <x v="0"/>
    <x v="2"/>
    <x v="5"/>
    <x v="0"/>
    <n v="461281"/>
  </r>
  <r>
    <x v="0"/>
    <x v="2"/>
    <x v="0"/>
    <x v="1"/>
    <n v="476654"/>
  </r>
  <r>
    <x v="0"/>
    <x v="2"/>
    <x v="1"/>
    <x v="1"/>
    <n v="405717"/>
  </r>
  <r>
    <x v="0"/>
    <x v="2"/>
    <x v="2"/>
    <x v="1"/>
    <n v="407780"/>
  </r>
  <r>
    <x v="0"/>
    <x v="2"/>
    <x v="3"/>
    <x v="1"/>
    <n v="462903"/>
  </r>
  <r>
    <x v="0"/>
    <x v="2"/>
    <x v="4"/>
    <x v="1"/>
    <n v="460030"/>
  </r>
  <r>
    <x v="0"/>
    <x v="2"/>
    <x v="5"/>
    <x v="1"/>
    <n v="463982"/>
  </r>
  <r>
    <x v="0"/>
    <x v="2"/>
    <x v="0"/>
    <x v="2"/>
    <n v="622573"/>
  </r>
  <r>
    <x v="0"/>
    <x v="2"/>
    <x v="1"/>
    <x v="2"/>
    <n v="578387"/>
  </r>
  <r>
    <x v="0"/>
    <x v="2"/>
    <x v="2"/>
    <x v="2"/>
    <n v="579998"/>
  </r>
  <r>
    <x v="0"/>
    <x v="2"/>
    <x v="3"/>
    <x v="2"/>
    <n v="594253"/>
  </r>
  <r>
    <x v="0"/>
    <x v="2"/>
    <x v="4"/>
    <x v="2"/>
    <n v="473198"/>
  </r>
  <r>
    <x v="0"/>
    <x v="2"/>
    <x v="5"/>
    <x v="2"/>
    <n v="601406"/>
  </r>
  <r>
    <x v="1"/>
    <x v="2"/>
    <x v="0"/>
    <x v="0"/>
    <n v="616561"/>
  </r>
  <r>
    <x v="1"/>
    <x v="2"/>
    <x v="1"/>
    <x v="0"/>
    <n v="559403"/>
  </r>
  <r>
    <x v="1"/>
    <x v="2"/>
    <x v="2"/>
    <x v="0"/>
    <n v="597369"/>
  </r>
  <r>
    <x v="1"/>
    <x v="2"/>
    <x v="3"/>
    <x v="0"/>
    <n v="709122"/>
  </r>
  <r>
    <x v="1"/>
    <x v="2"/>
    <x v="4"/>
    <x v="0"/>
    <n v="462316"/>
  </r>
  <r>
    <x v="1"/>
    <x v="2"/>
    <x v="5"/>
    <x v="0"/>
    <n v="466554"/>
  </r>
  <r>
    <x v="1"/>
    <x v="2"/>
    <x v="0"/>
    <x v="1"/>
    <n v="380338"/>
  </r>
  <r>
    <x v="1"/>
    <x v="2"/>
    <x v="1"/>
    <x v="1"/>
    <n v="406420"/>
  </r>
  <r>
    <x v="1"/>
    <x v="2"/>
    <x v="2"/>
    <x v="1"/>
    <n v="422373"/>
  </r>
  <r>
    <x v="1"/>
    <x v="2"/>
    <x v="3"/>
    <x v="1"/>
    <n v="385923"/>
  </r>
  <r>
    <x v="1"/>
    <x v="2"/>
    <x v="4"/>
    <x v="1"/>
    <n v="474148"/>
  </r>
  <r>
    <x v="1"/>
    <x v="2"/>
    <x v="5"/>
    <x v="1"/>
    <n v="438409"/>
  </r>
  <r>
    <x v="1"/>
    <x v="2"/>
    <x v="0"/>
    <x v="2"/>
    <n v="554317"/>
  </r>
  <r>
    <x v="1"/>
    <x v="2"/>
    <x v="1"/>
    <x v="2"/>
    <n v="609069"/>
  </r>
  <r>
    <x v="1"/>
    <x v="2"/>
    <x v="2"/>
    <x v="2"/>
    <n v="563406"/>
  </r>
  <r>
    <x v="1"/>
    <x v="2"/>
    <x v="3"/>
    <x v="2"/>
    <n v="606490"/>
  </r>
  <r>
    <x v="1"/>
    <x v="2"/>
    <x v="4"/>
    <x v="2"/>
    <n v="564560"/>
  </r>
  <r>
    <x v="1"/>
    <x v="2"/>
    <x v="5"/>
    <x v="2"/>
    <n v="600194"/>
  </r>
  <r>
    <x v="2"/>
    <x v="2"/>
    <x v="0"/>
    <x v="0"/>
    <n v="549802"/>
  </r>
  <r>
    <x v="2"/>
    <x v="2"/>
    <x v="1"/>
    <x v="0"/>
    <n v="493119"/>
  </r>
  <r>
    <x v="2"/>
    <x v="2"/>
    <x v="2"/>
    <x v="0"/>
    <n v="576355"/>
  </r>
  <r>
    <x v="2"/>
    <x v="2"/>
    <x v="3"/>
    <x v="0"/>
    <n v="670233"/>
  </r>
  <r>
    <x v="2"/>
    <x v="2"/>
    <x v="4"/>
    <x v="0"/>
    <n v="524001"/>
  </r>
  <r>
    <x v="2"/>
    <x v="2"/>
    <x v="5"/>
    <x v="0"/>
    <n v="527703"/>
  </r>
  <r>
    <x v="2"/>
    <x v="2"/>
    <x v="0"/>
    <x v="1"/>
    <n v="355197"/>
  </r>
  <r>
    <x v="2"/>
    <x v="2"/>
    <x v="1"/>
    <x v="1"/>
    <n v="420947"/>
  </r>
  <r>
    <x v="2"/>
    <x v="2"/>
    <x v="2"/>
    <x v="1"/>
    <n v="423393"/>
  </r>
  <r>
    <x v="2"/>
    <x v="2"/>
    <x v="3"/>
    <x v="1"/>
    <n v="547726"/>
  </r>
  <r>
    <x v="2"/>
    <x v="2"/>
    <x v="4"/>
    <x v="1"/>
    <n v="478507"/>
  </r>
  <r>
    <x v="2"/>
    <x v="2"/>
    <x v="5"/>
    <x v="1"/>
    <n v="425549"/>
  </r>
  <r>
    <x v="2"/>
    <x v="2"/>
    <x v="0"/>
    <x v="2"/>
    <n v="618631"/>
  </r>
  <r>
    <x v="2"/>
    <x v="2"/>
    <x v="1"/>
    <x v="2"/>
    <n v="593074"/>
  </r>
  <r>
    <x v="2"/>
    <x v="2"/>
    <x v="2"/>
    <x v="2"/>
    <n v="708115"/>
  </r>
  <r>
    <x v="2"/>
    <x v="2"/>
    <x v="3"/>
    <x v="2"/>
    <n v="657230"/>
  </r>
  <r>
    <x v="2"/>
    <x v="2"/>
    <x v="4"/>
    <x v="2"/>
    <n v="636020"/>
  </r>
  <r>
    <x v="2"/>
    <x v="2"/>
    <x v="5"/>
    <x v="2"/>
    <n v="648918"/>
  </r>
  <r>
    <x v="3"/>
    <x v="2"/>
    <x v="0"/>
    <x v="0"/>
    <n v="508848"/>
  </r>
  <r>
    <x v="3"/>
    <x v="2"/>
    <x v="1"/>
    <x v="0"/>
    <n v="522433"/>
  </r>
  <r>
    <x v="3"/>
    <x v="2"/>
    <x v="2"/>
    <x v="0"/>
    <n v="526729"/>
  </r>
  <r>
    <x v="3"/>
    <x v="2"/>
    <x v="3"/>
    <x v="0"/>
    <n v="504010"/>
  </r>
  <r>
    <x v="3"/>
    <x v="2"/>
    <x v="4"/>
    <x v="0"/>
    <n v="426401"/>
  </r>
  <r>
    <x v="3"/>
    <x v="2"/>
    <x v="5"/>
    <x v="0"/>
    <n v="430903"/>
  </r>
  <r>
    <x v="3"/>
    <x v="2"/>
    <x v="0"/>
    <x v="1"/>
    <n v="319614"/>
  </r>
  <r>
    <x v="3"/>
    <x v="2"/>
    <x v="1"/>
    <x v="1"/>
    <n v="417155"/>
  </r>
  <r>
    <x v="3"/>
    <x v="2"/>
    <x v="2"/>
    <x v="1"/>
    <n v="395381"/>
  </r>
  <r>
    <x v="3"/>
    <x v="2"/>
    <x v="3"/>
    <x v="1"/>
    <n v="385921"/>
  </r>
  <r>
    <x v="3"/>
    <x v="2"/>
    <x v="4"/>
    <x v="1"/>
    <n v="349157"/>
  </r>
  <r>
    <x v="3"/>
    <x v="2"/>
    <x v="5"/>
    <x v="1"/>
    <n v="375737"/>
  </r>
  <r>
    <x v="3"/>
    <x v="2"/>
    <x v="0"/>
    <x v="2"/>
    <n v="528322"/>
  </r>
  <r>
    <x v="3"/>
    <x v="2"/>
    <x v="1"/>
    <x v="2"/>
    <n v="497798"/>
  </r>
  <r>
    <x v="3"/>
    <x v="2"/>
    <x v="2"/>
    <x v="2"/>
    <n v="515122"/>
  </r>
  <r>
    <x v="3"/>
    <x v="2"/>
    <x v="3"/>
    <x v="2"/>
    <n v="501404"/>
  </r>
  <r>
    <x v="3"/>
    <x v="2"/>
    <x v="4"/>
    <x v="2"/>
    <n v="518350"/>
  </r>
  <r>
    <x v="3"/>
    <x v="2"/>
    <x v="5"/>
    <x v="2"/>
    <n v="4455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colGrandTotals="0" itemPrintTitles="1" createdVersion="6" indent="0" compact="0" compactData="0" multipleFieldFilters="0">
  <location ref="J9:K14" firstHeaderRow="1" firstDataRow="2" firstDataCol="1"/>
  <pivotFields count="5">
    <pivotField compact="0" outline="0" showAll="0"/>
    <pivotField axis="axisCol" compact="0" outline="0" showAll="0">
      <items count="4">
        <item h="1" x="0"/>
        <item h="1" x="1"/>
        <item x="2"/>
        <item t="default"/>
      </items>
    </pivotField>
    <pivotField compact="0" outline="0" showAll="0"/>
    <pivotField axis="axisRow" compact="0" outline="0" showAll="0">
      <items count="4">
        <item x="0"/>
        <item x="1"/>
        <item x="2"/>
        <item t="default"/>
      </items>
    </pivotField>
    <pivotField dataField="1" compact="0" numFmtId="6" outline="0"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1">
    <i>
      <x v="2"/>
    </i>
  </colItems>
  <dataFields count="1">
    <dataField name="Sum of Sales $" fld="4" baseField="0" baseItem="0" numFmtId="164"/>
  </dataFields>
  <pivotTableStyleInfo name="PivotTable Style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6" minRefreshableVersion="3" itemPrintTitles="1" createdVersion="6" indent="0" outline="1" outlineData="1" multipleFieldFilters="0">
  <location ref="J63:N65" firstHeaderRow="1" firstDataRow="2" firstDataCol="1" rowPageCount="1" colPageCount="1"/>
  <pivotFields count="5">
    <pivotField axis="axisPage" showAll="0">
      <items count="5">
        <item x="0"/>
        <item x="1"/>
        <item x="2"/>
        <item x="3"/>
        <item t="default"/>
      </items>
    </pivotField>
    <pivotField showAll="0"/>
    <pivotField axis="axisCol" showAll="0">
      <items count="7">
        <item h="1" x="0"/>
        <item h="1" x="1"/>
        <item h="1" x="2"/>
        <item x="3"/>
        <item x="4"/>
        <item x="5"/>
        <item t="default"/>
      </items>
    </pivotField>
    <pivotField showAll="0"/>
    <pivotField dataField="1" numFmtId="6" showAll="0"/>
  </pivotFields>
  <rowItems count="1">
    <i/>
  </rowItems>
  <colFields count="1">
    <field x="2"/>
  </colFields>
  <colItems count="4">
    <i>
      <x v="3"/>
    </i>
    <i>
      <x v="4"/>
    </i>
    <i>
      <x v="5"/>
    </i>
    <i t="grand">
      <x/>
    </i>
  </colItems>
  <pageFields count="1">
    <pageField fld="0" item="3" hier="-1"/>
  </pageFields>
  <dataFields count="1">
    <dataField name="Sum of Sales $" fld="4" baseField="0" baseItem="0" numFmtId="164"/>
  </dataFields>
  <pivotTableStyleInfo name="PivotTable Style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compact="0" outline="1" outlineData="1" compactData="0" multipleFieldFilters="0">
  <location ref="J39:Q46" firstHeaderRow="1" firstDataRow="3" firstDataCol="2"/>
  <pivotFields count="5">
    <pivotField axis="axisRow" compact="0" showAll="0" defaultSubtotal="0">
      <items count="4">
        <item x="0"/>
        <item x="1"/>
        <item x="2"/>
        <item x="3"/>
      </items>
    </pivotField>
    <pivotField axis="axisRow" compact="0" showAll="0" defaultSubtotal="0">
      <items count="3">
        <item h="1" x="0"/>
        <item x="1"/>
        <item h="1" x="2"/>
      </items>
    </pivotField>
    <pivotField compact="0" showAll="0" defaultSubtotal="0"/>
    <pivotField axis="axisCol" compact="0" showAll="0" defaultSubtotal="0">
      <items count="3">
        <item x="0"/>
        <item x="1"/>
        <item x="2"/>
      </items>
    </pivotField>
    <pivotField dataField="1" compact="0" numFmtId="6" showAll="0" defaultSubtotal="0"/>
  </pivotFields>
  <rowFields count="2">
    <field x="1"/>
    <field x="0"/>
  </rowFields>
  <rowItems count="5">
    <i>
      <x v="1"/>
    </i>
    <i r="1">
      <x/>
    </i>
    <i r="1">
      <x v="1"/>
    </i>
    <i r="1">
      <x v="2"/>
    </i>
    <i r="1">
      <x v="3"/>
    </i>
  </rowItems>
  <colFields count="2">
    <field x="3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dataFields count="2">
    <dataField name="Sum of Sales $" fld="4" baseField="0" baseItem="0" numFmtId="164"/>
    <dataField name="Average of Sales $2" fld="4" subtotal="average" baseField="0" baseItem="0" numFmtId="164"/>
  </dataFields>
  <pivotTableStyleInfo name="PivotTable Style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itemPrintTitles="1" createdVersion="6" indent="0" compact="0" outline="1" outlineData="1" compactData="0" multipleFieldFilters="0">
  <location ref="J22:N30" firstHeaderRow="1" firstDataRow="2" firstDataCol="1" rowPageCount="2" colPageCount="1"/>
  <pivotFields count="5">
    <pivotField axis="axisPage" compact="0" showAll="0">
      <items count="5">
        <item x="0"/>
        <item x="1"/>
        <item x="2"/>
        <item x="3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showAll="0">
      <items count="7">
        <item x="0"/>
        <item x="1"/>
        <item x="2"/>
        <item x="3"/>
        <item x="4"/>
        <item x="5"/>
        <item t="default"/>
      </items>
    </pivotField>
    <pivotField axis="axisCol" compact="0" showAll="0">
      <items count="4">
        <item x="0"/>
        <item x="1"/>
        <item x="2"/>
        <item t="default"/>
      </items>
    </pivotField>
    <pivotField dataField="1" compact="0" numFmtId="6"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pageFields count="2">
    <pageField fld="1" item="1" hier="-1"/>
    <pageField fld="0" item="0" hier="-1"/>
  </pageFields>
  <dataFields count="1">
    <dataField name="Average of Sales $" fld="4" subtotal="average" baseField="0" baseItem="0" numFmtId="164"/>
  </dataFields>
  <pivotTableStyleInfo name="PivotTable Style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11.bin"/><Relationship Id="rId4" Type="http://schemas.openxmlformats.org/officeDocument/2006/relationships/pivotTable" Target="../pivotTables/pivotTable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62"/>
  </sheetPr>
  <dimension ref="B4:C31"/>
  <sheetViews>
    <sheetView showGridLines="0" workbookViewId="0">
      <selection activeCell="D48" sqref="D48"/>
    </sheetView>
  </sheetViews>
  <sheetFormatPr defaultColWidth="9" defaultRowHeight="15" x14ac:dyDescent="0.2"/>
  <cols>
    <col min="1" max="1" width="9" style="36"/>
    <col min="2" max="2" width="6.75" style="36" customWidth="1"/>
    <col min="3" max="16384" width="9" style="36"/>
  </cols>
  <sheetData>
    <row r="4" spans="2:3" ht="18" x14ac:dyDescent="0.25">
      <c r="B4" s="147"/>
    </row>
    <row r="5" spans="2:3" ht="18" x14ac:dyDescent="0.25">
      <c r="B5" s="116"/>
    </row>
    <row r="6" spans="2:3" ht="18" x14ac:dyDescent="0.25">
      <c r="B6" s="117" t="s">
        <v>215</v>
      </c>
    </row>
    <row r="7" spans="2:3" ht="18" x14ac:dyDescent="0.25">
      <c r="B7" s="35"/>
    </row>
    <row r="9" spans="2:3" ht="15.75" x14ac:dyDescent="0.25">
      <c r="B9" s="37" t="s">
        <v>79</v>
      </c>
    </row>
    <row r="10" spans="2:3" x14ac:dyDescent="0.2">
      <c r="C10" s="31" t="s">
        <v>108</v>
      </c>
    </row>
    <row r="11" spans="2:3" x14ac:dyDescent="0.2">
      <c r="C11" s="31" t="s">
        <v>115</v>
      </c>
    </row>
    <row r="12" spans="2:3" x14ac:dyDescent="0.2">
      <c r="C12" s="31" t="s">
        <v>109</v>
      </c>
    </row>
    <row r="13" spans="2:3" x14ac:dyDescent="0.2">
      <c r="C13" s="31" t="s">
        <v>110</v>
      </c>
    </row>
    <row r="14" spans="2:3" x14ac:dyDescent="0.2">
      <c r="C14" s="36" t="s">
        <v>117</v>
      </c>
    </row>
    <row r="15" spans="2:3" x14ac:dyDescent="0.2">
      <c r="C15" s="31" t="s">
        <v>129</v>
      </c>
    </row>
    <row r="16" spans="2:3" x14ac:dyDescent="0.2">
      <c r="C16" s="70" t="s">
        <v>171</v>
      </c>
    </row>
    <row r="17" spans="2:3" x14ac:dyDescent="0.2">
      <c r="C17" s="70" t="s">
        <v>222</v>
      </c>
    </row>
    <row r="18" spans="2:3" x14ac:dyDescent="0.2">
      <c r="C18" s="70" t="s">
        <v>172</v>
      </c>
    </row>
    <row r="19" spans="2:3" x14ac:dyDescent="0.2">
      <c r="C19" s="31"/>
    </row>
    <row r="20" spans="2:3" ht="15.75" x14ac:dyDescent="0.25">
      <c r="C20" s="71" t="s">
        <v>134</v>
      </c>
    </row>
    <row r="24" spans="2:3" x14ac:dyDescent="0.2">
      <c r="B24" s="38"/>
    </row>
    <row r="31" spans="2:3" x14ac:dyDescent="0.2">
      <c r="B31" s="58"/>
    </row>
  </sheetData>
  <phoneticPr fontId="0" type="noConversion"/>
  <pageMargins left="0.75" right="0.75" top="1" bottom="1" header="0.5" footer="0.5"/>
  <pageSetup orientation="portrait" r:id="rId1"/>
  <headerFooter alignWithMargins="0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223"/>
  <sheetViews>
    <sheetView showGridLines="0" tabSelected="1" topLeftCell="A4" workbookViewId="0">
      <selection activeCell="A4" sqref="A4"/>
    </sheetView>
  </sheetViews>
  <sheetFormatPr defaultColWidth="9" defaultRowHeight="16.5" x14ac:dyDescent="0.3"/>
  <cols>
    <col min="1" max="1" width="9" style="3"/>
    <col min="2" max="2" width="9.5" style="3" customWidth="1"/>
    <col min="3" max="3" width="10.125" style="3" customWidth="1"/>
    <col min="4" max="4" width="10.75" style="3" customWidth="1"/>
    <col min="5" max="5" width="12" style="3" bestFit="1" customWidth="1"/>
    <col min="6" max="6" width="11.125" style="3" customWidth="1"/>
    <col min="7" max="7" width="9.75" style="3" customWidth="1"/>
    <col min="8" max="8" width="10.625" style="3" customWidth="1"/>
    <col min="9" max="9" width="10.75" style="3" customWidth="1"/>
    <col min="10" max="10" width="11.125" style="3" customWidth="1"/>
    <col min="11" max="16384" width="9" style="3"/>
  </cols>
  <sheetData>
    <row r="2" spans="2:10" x14ac:dyDescent="0.3">
      <c r="B2" s="34"/>
    </row>
    <row r="3" spans="2:10" x14ac:dyDescent="0.3">
      <c r="B3" s="34" t="s">
        <v>112</v>
      </c>
    </row>
    <row r="4" spans="2:10" ht="21" x14ac:dyDescent="0.35">
      <c r="C4" s="15"/>
      <c r="D4" s="15"/>
    </row>
    <row r="5" spans="2:10" ht="18" x14ac:dyDescent="0.35">
      <c r="C5" s="14"/>
      <c r="D5" s="14"/>
      <c r="F5" s="16"/>
    </row>
    <row r="6" spans="2:10" ht="20.25" x14ac:dyDescent="0.3">
      <c r="B6" s="26" t="s">
        <v>216</v>
      </c>
    </row>
    <row r="7" spans="2:10" x14ac:dyDescent="0.3">
      <c r="B7" s="27" t="s">
        <v>132</v>
      </c>
    </row>
    <row r="9" spans="2:10" ht="35.25" customHeight="1" x14ac:dyDescent="0.3">
      <c r="B9" s="60" t="s">
        <v>5</v>
      </c>
      <c r="C9" s="60" t="s">
        <v>48</v>
      </c>
      <c r="D9" s="60" t="s">
        <v>50</v>
      </c>
      <c r="E9" s="61" t="s">
        <v>0</v>
      </c>
      <c r="F9" s="61" t="s">
        <v>1</v>
      </c>
      <c r="G9" s="61" t="s">
        <v>2</v>
      </c>
      <c r="H9" s="60" t="s">
        <v>4</v>
      </c>
      <c r="I9" s="61" t="s">
        <v>49</v>
      </c>
      <c r="J9" s="60" t="s">
        <v>3</v>
      </c>
    </row>
    <row r="10" spans="2:10" x14ac:dyDescent="0.3">
      <c r="B10" s="23">
        <v>1</v>
      </c>
      <c r="C10" s="22" t="s">
        <v>53</v>
      </c>
      <c r="D10" s="22" t="s">
        <v>68</v>
      </c>
      <c r="E10" s="24">
        <v>41456</v>
      </c>
      <c r="F10" s="30">
        <v>0.375</v>
      </c>
      <c r="G10" s="30">
        <v>0.70833333333333337</v>
      </c>
      <c r="H10" s="170">
        <f>(G10-F10)</f>
        <v>0.33333333333333337</v>
      </c>
      <c r="I10" s="171">
        <f t="shared" ref="I10:I41" si="0">VLOOKUP(C10,Work_Codes,3,0)</f>
        <v>200</v>
      </c>
      <c r="J10" s="172">
        <f>H10*I10*24</f>
        <v>1600</v>
      </c>
    </row>
    <row r="11" spans="2:10" x14ac:dyDescent="0.3">
      <c r="B11" s="23">
        <v>2</v>
      </c>
      <c r="C11" s="22" t="s">
        <v>54</v>
      </c>
      <c r="D11" s="22" t="s">
        <v>76</v>
      </c>
      <c r="E11" s="24">
        <v>41462</v>
      </c>
      <c r="F11" s="30">
        <v>0.35416666666666669</v>
      </c>
      <c r="G11" s="30">
        <v>0.6875</v>
      </c>
      <c r="H11" s="170">
        <f t="shared" ref="H11:H74" si="1">(G11-F11)</f>
        <v>0.33333333333333331</v>
      </c>
      <c r="I11" s="171">
        <f t="shared" si="0"/>
        <v>150</v>
      </c>
      <c r="J11" s="172">
        <f t="shared" ref="J11:J74" si="2">H11*I11*24</f>
        <v>1200</v>
      </c>
    </row>
    <row r="12" spans="2:10" x14ac:dyDescent="0.3">
      <c r="B12" s="23">
        <v>2</v>
      </c>
      <c r="C12" s="22" t="s">
        <v>54</v>
      </c>
      <c r="D12" s="22" t="s">
        <v>74</v>
      </c>
      <c r="E12" s="24">
        <v>41461</v>
      </c>
      <c r="F12" s="30">
        <v>0.35416666666666669</v>
      </c>
      <c r="G12" s="30">
        <v>0.6875</v>
      </c>
      <c r="H12" s="170">
        <f t="shared" si="1"/>
        <v>0.33333333333333331</v>
      </c>
      <c r="I12" s="171">
        <f t="shared" si="0"/>
        <v>150</v>
      </c>
      <c r="J12" s="172">
        <f t="shared" si="2"/>
        <v>1200</v>
      </c>
    </row>
    <row r="13" spans="2:10" x14ac:dyDescent="0.3">
      <c r="B13" s="23">
        <v>3</v>
      </c>
      <c r="C13" s="22" t="s">
        <v>55</v>
      </c>
      <c r="D13" s="22" t="s">
        <v>70</v>
      </c>
      <c r="E13" s="24">
        <v>41462</v>
      </c>
      <c r="F13" s="30">
        <v>0.35416666666666702</v>
      </c>
      <c r="G13" s="30">
        <v>0.6875</v>
      </c>
      <c r="H13" s="170">
        <f t="shared" si="1"/>
        <v>0.33333333333333298</v>
      </c>
      <c r="I13" s="171">
        <f t="shared" si="0"/>
        <v>95</v>
      </c>
      <c r="J13" s="172">
        <f t="shared" si="2"/>
        <v>759.9999999999992</v>
      </c>
    </row>
    <row r="14" spans="2:10" x14ac:dyDescent="0.3">
      <c r="B14" s="23">
        <v>3</v>
      </c>
      <c r="C14" s="22" t="s">
        <v>55</v>
      </c>
      <c r="D14" s="22" t="s">
        <v>72</v>
      </c>
      <c r="E14" s="24">
        <v>41461</v>
      </c>
      <c r="F14" s="30">
        <v>0.35416666666666702</v>
      </c>
      <c r="G14" s="30">
        <v>0.6875</v>
      </c>
      <c r="H14" s="170">
        <f t="shared" si="1"/>
        <v>0.33333333333333298</v>
      </c>
      <c r="I14" s="171">
        <f t="shared" si="0"/>
        <v>95</v>
      </c>
      <c r="J14" s="172">
        <f t="shared" si="2"/>
        <v>759.9999999999992</v>
      </c>
    </row>
    <row r="15" spans="2:10" x14ac:dyDescent="0.3">
      <c r="B15" s="23">
        <v>4</v>
      </c>
      <c r="C15" s="22" t="s">
        <v>55</v>
      </c>
      <c r="D15" s="22" t="s">
        <v>75</v>
      </c>
      <c r="E15" s="24">
        <v>41467</v>
      </c>
      <c r="F15" s="30">
        <v>0.35416666666666702</v>
      </c>
      <c r="G15" s="30">
        <v>0.6875</v>
      </c>
      <c r="H15" s="170">
        <f t="shared" si="1"/>
        <v>0.33333333333333298</v>
      </c>
      <c r="I15" s="171">
        <f t="shared" si="0"/>
        <v>95</v>
      </c>
      <c r="J15" s="172">
        <f t="shared" si="2"/>
        <v>759.9999999999992</v>
      </c>
    </row>
    <row r="16" spans="2:10" x14ac:dyDescent="0.3">
      <c r="B16" s="23">
        <v>4</v>
      </c>
      <c r="C16" s="22" t="s">
        <v>55</v>
      </c>
      <c r="D16" s="22" t="s">
        <v>73</v>
      </c>
      <c r="E16" s="24">
        <v>41468</v>
      </c>
      <c r="F16" s="30">
        <v>0.35416666666666702</v>
      </c>
      <c r="G16" s="30">
        <v>0.70833333333333337</v>
      </c>
      <c r="H16" s="170">
        <f t="shared" si="1"/>
        <v>0.35416666666666635</v>
      </c>
      <c r="I16" s="171">
        <f t="shared" si="0"/>
        <v>95</v>
      </c>
      <c r="J16" s="172">
        <f t="shared" si="2"/>
        <v>807.4999999999992</v>
      </c>
    </row>
    <row r="17" spans="2:10" x14ac:dyDescent="0.3">
      <c r="B17" s="23">
        <v>4</v>
      </c>
      <c r="C17" s="22" t="s">
        <v>55</v>
      </c>
      <c r="D17" s="22" t="s">
        <v>68</v>
      </c>
      <c r="E17" s="24">
        <v>41469</v>
      </c>
      <c r="F17" s="30">
        <v>0.35416666666666702</v>
      </c>
      <c r="G17" s="30">
        <v>0.70833333333333337</v>
      </c>
      <c r="H17" s="170">
        <f t="shared" si="1"/>
        <v>0.35416666666666635</v>
      </c>
      <c r="I17" s="171">
        <f t="shared" si="0"/>
        <v>95</v>
      </c>
      <c r="J17" s="172">
        <f t="shared" si="2"/>
        <v>807.4999999999992</v>
      </c>
    </row>
    <row r="18" spans="2:10" x14ac:dyDescent="0.3">
      <c r="B18" s="23">
        <v>4</v>
      </c>
      <c r="C18" s="22" t="s">
        <v>55</v>
      </c>
      <c r="D18" s="22" t="s">
        <v>76</v>
      </c>
      <c r="E18" s="24">
        <v>41472</v>
      </c>
      <c r="F18" s="30">
        <v>0.45833333333333331</v>
      </c>
      <c r="G18" s="30">
        <v>0.6875</v>
      </c>
      <c r="H18" s="170">
        <f t="shared" si="1"/>
        <v>0.22916666666666669</v>
      </c>
      <c r="I18" s="171">
        <f t="shared" si="0"/>
        <v>95</v>
      </c>
      <c r="J18" s="172">
        <f t="shared" si="2"/>
        <v>522.5</v>
      </c>
    </row>
    <row r="19" spans="2:10" x14ac:dyDescent="0.3">
      <c r="B19" s="23">
        <v>4</v>
      </c>
      <c r="C19" s="22" t="s">
        <v>55</v>
      </c>
      <c r="D19" s="22" t="s">
        <v>74</v>
      </c>
      <c r="E19" s="24">
        <v>41472</v>
      </c>
      <c r="F19" s="30">
        <v>0.35416666666666702</v>
      </c>
      <c r="G19" s="30">
        <v>0.75</v>
      </c>
      <c r="H19" s="170">
        <f t="shared" si="1"/>
        <v>0.39583333333333298</v>
      </c>
      <c r="I19" s="171">
        <f t="shared" si="0"/>
        <v>95</v>
      </c>
      <c r="J19" s="172">
        <f t="shared" si="2"/>
        <v>902.49999999999932</v>
      </c>
    </row>
    <row r="20" spans="2:10" x14ac:dyDescent="0.3">
      <c r="B20" s="23">
        <v>5</v>
      </c>
      <c r="C20" s="22" t="s">
        <v>53</v>
      </c>
      <c r="D20" s="22" t="s">
        <v>70</v>
      </c>
      <c r="E20" s="24">
        <v>41465</v>
      </c>
      <c r="F20" s="30">
        <v>0.4375</v>
      </c>
      <c r="G20" s="30">
        <v>0.75</v>
      </c>
      <c r="H20" s="170">
        <f t="shared" si="1"/>
        <v>0.3125</v>
      </c>
      <c r="I20" s="171">
        <f t="shared" si="0"/>
        <v>200</v>
      </c>
      <c r="J20" s="172">
        <f t="shared" si="2"/>
        <v>1500</v>
      </c>
    </row>
    <row r="21" spans="2:10" x14ac:dyDescent="0.3">
      <c r="B21" s="23">
        <v>5</v>
      </c>
      <c r="C21" s="22" t="s">
        <v>53</v>
      </c>
      <c r="D21" s="22" t="s">
        <v>72</v>
      </c>
      <c r="E21" s="24">
        <v>41466</v>
      </c>
      <c r="F21" s="30">
        <v>0.35416666666666669</v>
      </c>
      <c r="G21" s="30">
        <v>0.70833333333333337</v>
      </c>
      <c r="H21" s="170">
        <f t="shared" si="1"/>
        <v>0.35416666666666669</v>
      </c>
      <c r="I21" s="171">
        <f t="shared" si="0"/>
        <v>200</v>
      </c>
      <c r="J21" s="172">
        <f t="shared" si="2"/>
        <v>1700.0000000000002</v>
      </c>
    </row>
    <row r="22" spans="2:10" x14ac:dyDescent="0.3">
      <c r="B22" s="23">
        <v>6</v>
      </c>
      <c r="C22" s="22" t="s">
        <v>55</v>
      </c>
      <c r="D22" s="22" t="s">
        <v>75</v>
      </c>
      <c r="E22" s="24">
        <v>41472</v>
      </c>
      <c r="F22" s="30">
        <v>0.35416666666666669</v>
      </c>
      <c r="G22" s="30">
        <v>0.72916666666666663</v>
      </c>
      <c r="H22" s="170">
        <f t="shared" si="1"/>
        <v>0.37499999999999994</v>
      </c>
      <c r="I22" s="171">
        <f t="shared" si="0"/>
        <v>95</v>
      </c>
      <c r="J22" s="172">
        <f t="shared" si="2"/>
        <v>854.99999999999977</v>
      </c>
    </row>
    <row r="23" spans="2:10" x14ac:dyDescent="0.3">
      <c r="B23" s="23">
        <v>6</v>
      </c>
      <c r="C23" s="22" t="s">
        <v>55</v>
      </c>
      <c r="D23" s="22" t="s">
        <v>73</v>
      </c>
      <c r="E23" s="24">
        <v>41472</v>
      </c>
      <c r="F23" s="30">
        <v>0.35416666666666702</v>
      </c>
      <c r="G23" s="30">
        <v>0.75</v>
      </c>
      <c r="H23" s="170">
        <f t="shared" si="1"/>
        <v>0.39583333333333298</v>
      </c>
      <c r="I23" s="171">
        <f t="shared" si="0"/>
        <v>95</v>
      </c>
      <c r="J23" s="172">
        <f t="shared" si="2"/>
        <v>902.49999999999932</v>
      </c>
    </row>
    <row r="24" spans="2:10" x14ac:dyDescent="0.3">
      <c r="B24" s="23">
        <v>7</v>
      </c>
      <c r="C24" s="22" t="s">
        <v>54</v>
      </c>
      <c r="D24" s="22" t="s">
        <v>69</v>
      </c>
      <c r="E24" s="24">
        <v>41466</v>
      </c>
      <c r="F24" s="30">
        <v>0.35416666666666702</v>
      </c>
      <c r="G24" s="30">
        <v>0.58333333333333337</v>
      </c>
      <c r="H24" s="170">
        <f t="shared" si="1"/>
        <v>0.22916666666666635</v>
      </c>
      <c r="I24" s="171">
        <f t="shared" si="0"/>
        <v>150</v>
      </c>
      <c r="J24" s="172">
        <f t="shared" si="2"/>
        <v>824.99999999999886</v>
      </c>
    </row>
    <row r="25" spans="2:10" x14ac:dyDescent="0.3">
      <c r="B25" s="23">
        <v>7</v>
      </c>
      <c r="C25" s="22" t="s">
        <v>54</v>
      </c>
      <c r="D25" s="22" t="s">
        <v>71</v>
      </c>
      <c r="E25" s="24">
        <v>41467</v>
      </c>
      <c r="F25" s="30">
        <v>0.35416666666666702</v>
      </c>
      <c r="G25" s="30">
        <v>0.61458333333333337</v>
      </c>
      <c r="H25" s="170">
        <f t="shared" si="1"/>
        <v>0.26041666666666635</v>
      </c>
      <c r="I25" s="171">
        <f t="shared" si="0"/>
        <v>150</v>
      </c>
      <c r="J25" s="172">
        <f t="shared" si="2"/>
        <v>937.49999999999886</v>
      </c>
    </row>
    <row r="26" spans="2:10" x14ac:dyDescent="0.3">
      <c r="B26" s="23">
        <v>8</v>
      </c>
      <c r="C26" s="22" t="s">
        <v>54</v>
      </c>
      <c r="D26" s="22" t="s">
        <v>67</v>
      </c>
      <c r="E26" s="24">
        <v>41466</v>
      </c>
      <c r="F26" s="30">
        <v>0.54166666666666663</v>
      </c>
      <c r="G26" s="30">
        <v>0.70833333333333337</v>
      </c>
      <c r="H26" s="170">
        <f t="shared" si="1"/>
        <v>0.16666666666666674</v>
      </c>
      <c r="I26" s="171">
        <f t="shared" si="0"/>
        <v>150</v>
      </c>
      <c r="J26" s="172">
        <f t="shared" si="2"/>
        <v>600.00000000000023</v>
      </c>
    </row>
    <row r="27" spans="2:10" x14ac:dyDescent="0.3">
      <c r="B27" s="23">
        <v>8</v>
      </c>
      <c r="C27" s="22" t="s">
        <v>54</v>
      </c>
      <c r="D27" s="22" t="s">
        <v>69</v>
      </c>
      <c r="E27" s="24">
        <v>41467</v>
      </c>
      <c r="F27" s="30">
        <v>0.375</v>
      </c>
      <c r="G27" s="30">
        <v>0.73958333333333337</v>
      </c>
      <c r="H27" s="170">
        <f t="shared" si="1"/>
        <v>0.36458333333333337</v>
      </c>
      <c r="I27" s="171">
        <f t="shared" si="0"/>
        <v>150</v>
      </c>
      <c r="J27" s="172">
        <f t="shared" si="2"/>
        <v>1312.5000000000002</v>
      </c>
    </row>
    <row r="28" spans="2:10" x14ac:dyDescent="0.3">
      <c r="B28" s="23">
        <v>9</v>
      </c>
      <c r="C28" s="22" t="s">
        <v>53</v>
      </c>
      <c r="D28" s="22" t="s">
        <v>71</v>
      </c>
      <c r="E28" s="24">
        <v>41472</v>
      </c>
      <c r="F28" s="30">
        <v>0.41666666666666669</v>
      </c>
      <c r="G28" s="30">
        <v>0.75</v>
      </c>
      <c r="H28" s="170">
        <f t="shared" si="1"/>
        <v>0.33333333333333331</v>
      </c>
      <c r="I28" s="171">
        <f t="shared" si="0"/>
        <v>200</v>
      </c>
      <c r="J28" s="172">
        <f t="shared" si="2"/>
        <v>1599.9999999999998</v>
      </c>
    </row>
    <row r="29" spans="2:10" x14ac:dyDescent="0.3">
      <c r="B29" s="23">
        <v>9</v>
      </c>
      <c r="C29" s="22" t="s">
        <v>53</v>
      </c>
      <c r="D29" s="22" t="s">
        <v>70</v>
      </c>
      <c r="E29" s="24">
        <v>41471</v>
      </c>
      <c r="F29" s="30">
        <v>0.35416666666666669</v>
      </c>
      <c r="G29" s="30">
        <v>0.625</v>
      </c>
      <c r="H29" s="170">
        <f t="shared" si="1"/>
        <v>0.27083333333333331</v>
      </c>
      <c r="I29" s="171">
        <f t="shared" si="0"/>
        <v>200</v>
      </c>
      <c r="J29" s="172">
        <f t="shared" si="2"/>
        <v>1300</v>
      </c>
    </row>
    <row r="30" spans="2:10" x14ac:dyDescent="0.3">
      <c r="B30" s="23">
        <v>10</v>
      </c>
      <c r="C30" s="22" t="s">
        <v>55</v>
      </c>
      <c r="D30" s="22" t="s">
        <v>72</v>
      </c>
      <c r="E30" s="24">
        <v>41473</v>
      </c>
      <c r="F30" s="30">
        <v>0.35416666666666669</v>
      </c>
      <c r="G30" s="30">
        <v>0.66666666666666663</v>
      </c>
      <c r="H30" s="170">
        <f t="shared" si="1"/>
        <v>0.31249999999999994</v>
      </c>
      <c r="I30" s="171">
        <f t="shared" si="0"/>
        <v>95</v>
      </c>
      <c r="J30" s="172">
        <f t="shared" si="2"/>
        <v>712.49999999999989</v>
      </c>
    </row>
    <row r="31" spans="2:10" x14ac:dyDescent="0.3">
      <c r="B31" s="23">
        <v>10</v>
      </c>
      <c r="C31" s="22" t="s">
        <v>55</v>
      </c>
      <c r="D31" s="22" t="s">
        <v>75</v>
      </c>
      <c r="E31" s="24">
        <v>41474</v>
      </c>
      <c r="F31" s="30">
        <v>0.41666666666666669</v>
      </c>
      <c r="G31" s="30">
        <v>0.5</v>
      </c>
      <c r="H31" s="170">
        <f t="shared" si="1"/>
        <v>8.3333333333333315E-2</v>
      </c>
      <c r="I31" s="171">
        <f t="shared" si="0"/>
        <v>95</v>
      </c>
      <c r="J31" s="172">
        <f t="shared" si="2"/>
        <v>189.99999999999997</v>
      </c>
    </row>
    <row r="32" spans="2:10" x14ac:dyDescent="0.3">
      <c r="B32" s="23">
        <v>11</v>
      </c>
      <c r="C32" s="22" t="s">
        <v>53</v>
      </c>
      <c r="D32" s="22" t="s">
        <v>73</v>
      </c>
      <c r="E32" s="24">
        <v>41467</v>
      </c>
      <c r="F32" s="30">
        <v>0.33333333333333331</v>
      </c>
      <c r="G32" s="30">
        <v>0.5</v>
      </c>
      <c r="H32" s="170">
        <f t="shared" si="1"/>
        <v>0.16666666666666669</v>
      </c>
      <c r="I32" s="171">
        <f t="shared" si="0"/>
        <v>200</v>
      </c>
      <c r="J32" s="172">
        <f t="shared" si="2"/>
        <v>800</v>
      </c>
    </row>
    <row r="33" spans="2:10" x14ac:dyDescent="0.3">
      <c r="B33" s="23">
        <v>11</v>
      </c>
      <c r="C33" s="22" t="s">
        <v>53</v>
      </c>
      <c r="D33" s="22" t="s">
        <v>69</v>
      </c>
      <c r="E33" s="24">
        <v>41469</v>
      </c>
      <c r="F33" s="30">
        <v>0.375</v>
      </c>
      <c r="G33" s="30">
        <v>0.75</v>
      </c>
      <c r="H33" s="170">
        <f t="shared" si="1"/>
        <v>0.375</v>
      </c>
      <c r="I33" s="171">
        <f t="shared" si="0"/>
        <v>200</v>
      </c>
      <c r="J33" s="172">
        <f t="shared" si="2"/>
        <v>1800</v>
      </c>
    </row>
    <row r="34" spans="2:10" x14ac:dyDescent="0.3">
      <c r="B34" s="23">
        <v>11</v>
      </c>
      <c r="C34" s="22" t="s">
        <v>53</v>
      </c>
      <c r="D34" s="22" t="s">
        <v>74</v>
      </c>
      <c r="E34" s="24">
        <v>41472</v>
      </c>
      <c r="F34" s="30">
        <v>0.36458333333333331</v>
      </c>
      <c r="G34" s="30">
        <v>0.70833333333333337</v>
      </c>
      <c r="H34" s="170">
        <f t="shared" si="1"/>
        <v>0.34375000000000006</v>
      </c>
      <c r="I34" s="171">
        <f t="shared" si="0"/>
        <v>200</v>
      </c>
      <c r="J34" s="172">
        <f t="shared" si="2"/>
        <v>1650.0000000000005</v>
      </c>
    </row>
    <row r="35" spans="2:10" x14ac:dyDescent="0.3">
      <c r="B35" s="23">
        <v>11</v>
      </c>
      <c r="C35" s="22" t="s">
        <v>53</v>
      </c>
      <c r="D35" s="22" t="s">
        <v>70</v>
      </c>
      <c r="E35" s="24">
        <v>41473</v>
      </c>
      <c r="F35" s="30">
        <v>0.29166666666666669</v>
      </c>
      <c r="G35" s="30">
        <v>0.70833333333333337</v>
      </c>
      <c r="H35" s="170">
        <f t="shared" si="1"/>
        <v>0.41666666666666669</v>
      </c>
      <c r="I35" s="171">
        <f t="shared" si="0"/>
        <v>200</v>
      </c>
      <c r="J35" s="172">
        <f t="shared" si="2"/>
        <v>2000.0000000000002</v>
      </c>
    </row>
    <row r="36" spans="2:10" x14ac:dyDescent="0.3">
      <c r="B36" s="23">
        <v>11</v>
      </c>
      <c r="C36" s="22" t="s">
        <v>53</v>
      </c>
      <c r="D36" s="22" t="s">
        <v>72</v>
      </c>
      <c r="E36" s="24">
        <v>41476</v>
      </c>
      <c r="F36" s="30">
        <v>0.45833333333333331</v>
      </c>
      <c r="G36" s="30">
        <v>0.58333333333333337</v>
      </c>
      <c r="H36" s="170">
        <f t="shared" si="1"/>
        <v>0.12500000000000006</v>
      </c>
      <c r="I36" s="171">
        <f t="shared" si="0"/>
        <v>200</v>
      </c>
      <c r="J36" s="172">
        <f t="shared" si="2"/>
        <v>600.00000000000023</v>
      </c>
    </row>
    <row r="37" spans="2:10" x14ac:dyDescent="0.3">
      <c r="B37" s="23">
        <v>12</v>
      </c>
      <c r="C37" s="22" t="s">
        <v>54</v>
      </c>
      <c r="D37" s="22" t="s">
        <v>75</v>
      </c>
      <c r="E37" s="24">
        <v>41475</v>
      </c>
      <c r="F37" s="30">
        <v>0.4375</v>
      </c>
      <c r="G37" s="30">
        <v>0.66666666666666663</v>
      </c>
      <c r="H37" s="170">
        <f t="shared" si="1"/>
        <v>0.22916666666666663</v>
      </c>
      <c r="I37" s="171">
        <f t="shared" si="0"/>
        <v>150</v>
      </c>
      <c r="J37" s="172">
        <f t="shared" si="2"/>
        <v>824.99999999999977</v>
      </c>
    </row>
    <row r="38" spans="2:10" x14ac:dyDescent="0.3">
      <c r="B38" s="23">
        <v>12</v>
      </c>
      <c r="C38" s="22" t="s">
        <v>54</v>
      </c>
      <c r="D38" s="22" t="s">
        <v>73</v>
      </c>
      <c r="E38" s="24">
        <v>41477</v>
      </c>
      <c r="F38" s="30">
        <v>0.35416666666666669</v>
      </c>
      <c r="G38" s="30">
        <v>0.6875</v>
      </c>
      <c r="H38" s="170">
        <f t="shared" si="1"/>
        <v>0.33333333333333331</v>
      </c>
      <c r="I38" s="171">
        <f t="shared" si="0"/>
        <v>150</v>
      </c>
      <c r="J38" s="172">
        <f t="shared" si="2"/>
        <v>1200</v>
      </c>
    </row>
    <row r="39" spans="2:10" x14ac:dyDescent="0.3">
      <c r="B39" s="23">
        <v>13</v>
      </c>
      <c r="C39" s="22" t="s">
        <v>54</v>
      </c>
      <c r="D39" s="22" t="s">
        <v>70</v>
      </c>
      <c r="E39" s="24">
        <v>41472</v>
      </c>
      <c r="F39" s="30">
        <v>0.35416666666666669</v>
      </c>
      <c r="G39" s="30">
        <v>0.73958333333333337</v>
      </c>
      <c r="H39" s="170">
        <f t="shared" si="1"/>
        <v>0.38541666666666669</v>
      </c>
      <c r="I39" s="171">
        <f t="shared" si="0"/>
        <v>150</v>
      </c>
      <c r="J39" s="172">
        <f t="shared" si="2"/>
        <v>1387.5</v>
      </c>
    </row>
    <row r="40" spans="2:10" x14ac:dyDescent="0.3">
      <c r="B40" s="23">
        <v>14</v>
      </c>
      <c r="C40" s="22" t="s">
        <v>55</v>
      </c>
      <c r="D40" s="22" t="s">
        <v>72</v>
      </c>
      <c r="E40" s="24">
        <v>41467</v>
      </c>
      <c r="F40" s="30">
        <v>0.35416666666666702</v>
      </c>
      <c r="G40" s="30">
        <v>0.75</v>
      </c>
      <c r="H40" s="170">
        <f t="shared" si="1"/>
        <v>0.39583333333333298</v>
      </c>
      <c r="I40" s="171">
        <f t="shared" si="0"/>
        <v>95</v>
      </c>
      <c r="J40" s="172">
        <f t="shared" si="2"/>
        <v>902.49999999999932</v>
      </c>
    </row>
    <row r="41" spans="2:10" x14ac:dyDescent="0.3">
      <c r="B41" s="23">
        <v>14</v>
      </c>
      <c r="C41" s="22" t="s">
        <v>55</v>
      </c>
      <c r="D41" s="22" t="s">
        <v>75</v>
      </c>
      <c r="E41" s="24">
        <v>41468</v>
      </c>
      <c r="F41" s="30">
        <v>0.35416666666666702</v>
      </c>
      <c r="G41" s="30">
        <v>0.83333333333333337</v>
      </c>
      <c r="H41" s="170">
        <f t="shared" si="1"/>
        <v>0.47916666666666635</v>
      </c>
      <c r="I41" s="171">
        <f t="shared" si="0"/>
        <v>95</v>
      </c>
      <c r="J41" s="172">
        <f t="shared" si="2"/>
        <v>1092.4999999999991</v>
      </c>
    </row>
    <row r="42" spans="2:10" x14ac:dyDescent="0.3">
      <c r="B42" s="23">
        <v>14</v>
      </c>
      <c r="C42" s="22" t="s">
        <v>55</v>
      </c>
      <c r="D42" s="22" t="s">
        <v>73</v>
      </c>
      <c r="E42" s="24">
        <v>41472</v>
      </c>
      <c r="F42" s="30">
        <v>0.375</v>
      </c>
      <c r="G42" s="30">
        <v>0.70833333333333337</v>
      </c>
      <c r="H42" s="170">
        <f t="shared" si="1"/>
        <v>0.33333333333333337</v>
      </c>
      <c r="I42" s="171">
        <f t="shared" ref="I42:I73" si="3">VLOOKUP(C42,Work_Codes,3,0)</f>
        <v>95</v>
      </c>
      <c r="J42" s="172">
        <f t="shared" si="2"/>
        <v>760.00000000000011</v>
      </c>
    </row>
    <row r="43" spans="2:10" x14ac:dyDescent="0.3">
      <c r="B43" s="23">
        <v>14</v>
      </c>
      <c r="C43" s="22" t="s">
        <v>55</v>
      </c>
      <c r="D43" s="22" t="s">
        <v>69</v>
      </c>
      <c r="E43" s="24">
        <v>41473</v>
      </c>
      <c r="F43" s="30">
        <v>0.41666666666666702</v>
      </c>
      <c r="G43" s="30">
        <v>0.75</v>
      </c>
      <c r="H43" s="170">
        <f t="shared" si="1"/>
        <v>0.33333333333333298</v>
      </c>
      <c r="I43" s="171">
        <f t="shared" si="3"/>
        <v>95</v>
      </c>
      <c r="J43" s="172">
        <f t="shared" si="2"/>
        <v>759.9999999999992</v>
      </c>
    </row>
    <row r="44" spans="2:10" x14ac:dyDescent="0.3">
      <c r="B44" s="23">
        <v>14</v>
      </c>
      <c r="C44" s="22" t="s">
        <v>55</v>
      </c>
      <c r="D44" s="22" t="s">
        <v>70</v>
      </c>
      <c r="E44" s="24">
        <v>41477</v>
      </c>
      <c r="F44" s="30">
        <v>0.45833333333333298</v>
      </c>
      <c r="G44" s="30">
        <v>0.625</v>
      </c>
      <c r="H44" s="170">
        <f t="shared" si="1"/>
        <v>0.16666666666666702</v>
      </c>
      <c r="I44" s="171">
        <f t="shared" si="3"/>
        <v>95</v>
      </c>
      <c r="J44" s="172">
        <f t="shared" si="2"/>
        <v>380.0000000000008</v>
      </c>
    </row>
    <row r="45" spans="2:10" x14ac:dyDescent="0.3">
      <c r="B45" s="23">
        <v>14</v>
      </c>
      <c r="C45" s="22" t="s">
        <v>55</v>
      </c>
      <c r="D45" s="22" t="s">
        <v>72</v>
      </c>
      <c r="E45" s="24">
        <v>41483</v>
      </c>
      <c r="F45" s="30">
        <v>0.33333333333333331</v>
      </c>
      <c r="G45" s="30">
        <v>0.66666666666666663</v>
      </c>
      <c r="H45" s="170">
        <f t="shared" si="1"/>
        <v>0.33333333333333331</v>
      </c>
      <c r="I45" s="171">
        <f t="shared" si="3"/>
        <v>95</v>
      </c>
      <c r="J45" s="172">
        <f t="shared" si="2"/>
        <v>760</v>
      </c>
    </row>
    <row r="46" spans="2:10" x14ac:dyDescent="0.3">
      <c r="B46" s="23">
        <v>15</v>
      </c>
      <c r="C46" s="22" t="s">
        <v>53</v>
      </c>
      <c r="D46" s="22" t="s">
        <v>75</v>
      </c>
      <c r="E46" s="24">
        <v>41469</v>
      </c>
      <c r="F46" s="30">
        <v>0.35416666666666702</v>
      </c>
      <c r="G46" s="30">
        <v>0.75</v>
      </c>
      <c r="H46" s="170">
        <f t="shared" si="1"/>
        <v>0.39583333333333298</v>
      </c>
      <c r="I46" s="171">
        <f t="shared" si="3"/>
        <v>200</v>
      </c>
      <c r="J46" s="172">
        <f t="shared" si="2"/>
        <v>1899.9999999999984</v>
      </c>
    </row>
    <row r="47" spans="2:10" x14ac:dyDescent="0.3">
      <c r="B47" s="23">
        <v>15</v>
      </c>
      <c r="C47" s="22" t="s">
        <v>53</v>
      </c>
      <c r="D47" s="22" t="s">
        <v>73</v>
      </c>
      <c r="E47" s="24">
        <v>41472</v>
      </c>
      <c r="F47" s="30">
        <v>0.54166666666666663</v>
      </c>
      <c r="G47" s="30">
        <v>0.79166666666666663</v>
      </c>
      <c r="H47" s="170">
        <f t="shared" si="1"/>
        <v>0.25</v>
      </c>
      <c r="I47" s="171">
        <f t="shared" si="3"/>
        <v>200</v>
      </c>
      <c r="J47" s="172">
        <f t="shared" si="2"/>
        <v>1200</v>
      </c>
    </row>
    <row r="48" spans="2:10" x14ac:dyDescent="0.3">
      <c r="B48" s="23">
        <v>16</v>
      </c>
      <c r="C48" s="22" t="s">
        <v>53</v>
      </c>
      <c r="D48" s="22" t="s">
        <v>69</v>
      </c>
      <c r="E48" s="24">
        <v>41473</v>
      </c>
      <c r="F48" s="30">
        <v>0.375</v>
      </c>
      <c r="G48" s="30">
        <v>0.66666666666666663</v>
      </c>
      <c r="H48" s="170">
        <f t="shared" si="1"/>
        <v>0.29166666666666663</v>
      </c>
      <c r="I48" s="171">
        <f t="shared" si="3"/>
        <v>200</v>
      </c>
      <c r="J48" s="172">
        <f t="shared" si="2"/>
        <v>1400</v>
      </c>
    </row>
    <row r="49" spans="2:10" x14ac:dyDescent="0.3">
      <c r="B49" s="23">
        <v>16</v>
      </c>
      <c r="C49" s="22" t="s">
        <v>53</v>
      </c>
      <c r="D49" s="22" t="s">
        <v>68</v>
      </c>
      <c r="E49" s="24">
        <v>41474</v>
      </c>
      <c r="F49" s="30">
        <v>0.41666666666666669</v>
      </c>
      <c r="G49" s="30">
        <v>0.625</v>
      </c>
      <c r="H49" s="170">
        <f t="shared" si="1"/>
        <v>0.20833333333333331</v>
      </c>
      <c r="I49" s="171">
        <f t="shared" si="3"/>
        <v>200</v>
      </c>
      <c r="J49" s="172">
        <f t="shared" si="2"/>
        <v>1000</v>
      </c>
    </row>
    <row r="50" spans="2:10" x14ac:dyDescent="0.3">
      <c r="B50" s="23">
        <v>17</v>
      </c>
      <c r="C50" s="22" t="s">
        <v>54</v>
      </c>
      <c r="D50" s="22" t="s">
        <v>76</v>
      </c>
      <c r="E50" s="24">
        <v>41461</v>
      </c>
      <c r="F50" s="30">
        <v>0.35416666666666669</v>
      </c>
      <c r="G50" s="30">
        <v>0.58333333333333337</v>
      </c>
      <c r="H50" s="170">
        <f t="shared" si="1"/>
        <v>0.22916666666666669</v>
      </c>
      <c r="I50" s="171">
        <f t="shared" si="3"/>
        <v>150</v>
      </c>
      <c r="J50" s="172">
        <f t="shared" si="2"/>
        <v>825</v>
      </c>
    </row>
    <row r="51" spans="2:10" x14ac:dyDescent="0.3">
      <c r="B51" s="23">
        <v>17</v>
      </c>
      <c r="C51" s="22" t="s">
        <v>54</v>
      </c>
      <c r="D51" s="22" t="s">
        <v>74</v>
      </c>
      <c r="E51" s="24">
        <v>41462</v>
      </c>
      <c r="F51" s="30">
        <v>0.35416666666666702</v>
      </c>
      <c r="G51" s="30">
        <v>0.61458333333333337</v>
      </c>
      <c r="H51" s="170">
        <f t="shared" si="1"/>
        <v>0.26041666666666635</v>
      </c>
      <c r="I51" s="171">
        <f t="shared" si="3"/>
        <v>150</v>
      </c>
      <c r="J51" s="172">
        <f t="shared" si="2"/>
        <v>937.49999999999886</v>
      </c>
    </row>
    <row r="52" spans="2:10" x14ac:dyDescent="0.3">
      <c r="B52" s="23">
        <v>17</v>
      </c>
      <c r="C52" s="22" t="s">
        <v>54</v>
      </c>
      <c r="D52" s="22" t="s">
        <v>70</v>
      </c>
      <c r="E52" s="24">
        <v>41463</v>
      </c>
      <c r="F52" s="30">
        <v>0.35416666666666702</v>
      </c>
      <c r="G52" s="30">
        <v>0.61458333333333337</v>
      </c>
      <c r="H52" s="170">
        <f t="shared" si="1"/>
        <v>0.26041666666666635</v>
      </c>
      <c r="I52" s="171">
        <f t="shared" si="3"/>
        <v>150</v>
      </c>
      <c r="J52" s="172">
        <f t="shared" si="2"/>
        <v>937.49999999999886</v>
      </c>
    </row>
    <row r="53" spans="2:10" x14ac:dyDescent="0.3">
      <c r="B53" s="23">
        <v>17</v>
      </c>
      <c r="C53" s="22" t="s">
        <v>54</v>
      </c>
      <c r="D53" s="22" t="s">
        <v>72</v>
      </c>
      <c r="E53" s="24">
        <v>41464</v>
      </c>
      <c r="F53" s="30">
        <v>0.35416666666666702</v>
      </c>
      <c r="G53" s="30">
        <v>0.625</v>
      </c>
      <c r="H53" s="170">
        <f t="shared" si="1"/>
        <v>0.27083333333333298</v>
      </c>
      <c r="I53" s="171">
        <f t="shared" si="3"/>
        <v>150</v>
      </c>
      <c r="J53" s="172">
        <f t="shared" si="2"/>
        <v>974.99999999999886</v>
      </c>
    </row>
    <row r="54" spans="2:10" x14ac:dyDescent="0.3">
      <c r="B54" s="23">
        <v>17</v>
      </c>
      <c r="C54" s="22" t="s">
        <v>54</v>
      </c>
      <c r="D54" s="22" t="s">
        <v>75</v>
      </c>
      <c r="E54" s="24">
        <v>41465</v>
      </c>
      <c r="F54" s="30">
        <v>0.35416666666666702</v>
      </c>
      <c r="G54" s="30">
        <v>0.70833333333333337</v>
      </c>
      <c r="H54" s="170">
        <f t="shared" si="1"/>
        <v>0.35416666666666635</v>
      </c>
      <c r="I54" s="171">
        <f t="shared" si="3"/>
        <v>150</v>
      </c>
      <c r="J54" s="172">
        <f t="shared" si="2"/>
        <v>1274.9999999999989</v>
      </c>
    </row>
    <row r="55" spans="2:10" x14ac:dyDescent="0.3">
      <c r="B55" s="23">
        <v>17</v>
      </c>
      <c r="C55" s="22" t="s">
        <v>54</v>
      </c>
      <c r="D55" s="22" t="s">
        <v>73</v>
      </c>
      <c r="E55" s="24">
        <v>41466</v>
      </c>
      <c r="F55" s="30">
        <v>0.35416666666666702</v>
      </c>
      <c r="G55" s="30">
        <v>0.61458333333333337</v>
      </c>
      <c r="H55" s="170">
        <f t="shared" si="1"/>
        <v>0.26041666666666635</v>
      </c>
      <c r="I55" s="171">
        <f t="shared" si="3"/>
        <v>150</v>
      </c>
      <c r="J55" s="172">
        <f t="shared" si="2"/>
        <v>937.49999999999886</v>
      </c>
    </row>
    <row r="56" spans="2:10" x14ac:dyDescent="0.3">
      <c r="B56" s="23">
        <v>18</v>
      </c>
      <c r="C56" s="22" t="s">
        <v>55</v>
      </c>
      <c r="D56" s="22" t="s">
        <v>69</v>
      </c>
      <c r="E56" s="24">
        <v>41456</v>
      </c>
      <c r="F56" s="30">
        <v>0.45833333333333331</v>
      </c>
      <c r="G56" s="30">
        <v>0.70833333333333337</v>
      </c>
      <c r="H56" s="170">
        <f t="shared" si="1"/>
        <v>0.25000000000000006</v>
      </c>
      <c r="I56" s="171">
        <f t="shared" si="3"/>
        <v>95</v>
      </c>
      <c r="J56" s="172">
        <f t="shared" si="2"/>
        <v>570.00000000000011</v>
      </c>
    </row>
    <row r="57" spans="2:10" x14ac:dyDescent="0.3">
      <c r="B57" s="23">
        <v>18</v>
      </c>
      <c r="C57" s="22" t="s">
        <v>55</v>
      </c>
      <c r="D57" s="22" t="s">
        <v>71</v>
      </c>
      <c r="E57" s="24">
        <v>41458</v>
      </c>
      <c r="F57" s="30">
        <v>0.375</v>
      </c>
      <c r="G57" s="30">
        <v>0.625</v>
      </c>
      <c r="H57" s="170">
        <f t="shared" si="1"/>
        <v>0.25</v>
      </c>
      <c r="I57" s="171">
        <f t="shared" si="3"/>
        <v>95</v>
      </c>
      <c r="J57" s="172">
        <f t="shared" si="2"/>
        <v>570</v>
      </c>
    </row>
    <row r="58" spans="2:10" x14ac:dyDescent="0.3">
      <c r="B58" s="23">
        <v>18</v>
      </c>
      <c r="C58" s="22" t="s">
        <v>55</v>
      </c>
      <c r="D58" s="22" t="s">
        <v>67</v>
      </c>
      <c r="E58" s="24">
        <v>41459</v>
      </c>
      <c r="F58" s="30">
        <v>0.36458333333333331</v>
      </c>
      <c r="G58" s="30">
        <v>0.66666666666666663</v>
      </c>
      <c r="H58" s="170">
        <f t="shared" si="1"/>
        <v>0.30208333333333331</v>
      </c>
      <c r="I58" s="171">
        <f t="shared" si="3"/>
        <v>95</v>
      </c>
      <c r="J58" s="172">
        <f t="shared" si="2"/>
        <v>688.75</v>
      </c>
    </row>
    <row r="59" spans="2:10" x14ac:dyDescent="0.3">
      <c r="B59" s="23">
        <v>18</v>
      </c>
      <c r="C59" s="22" t="s">
        <v>55</v>
      </c>
      <c r="D59" s="22" t="s">
        <v>70</v>
      </c>
      <c r="E59" s="24">
        <v>41462</v>
      </c>
      <c r="F59" s="30">
        <v>0.4375</v>
      </c>
      <c r="G59" s="30">
        <v>0.75</v>
      </c>
      <c r="H59" s="170">
        <f t="shared" si="1"/>
        <v>0.3125</v>
      </c>
      <c r="I59" s="171">
        <f t="shared" si="3"/>
        <v>95</v>
      </c>
      <c r="J59" s="172">
        <f t="shared" si="2"/>
        <v>712.5</v>
      </c>
    </row>
    <row r="60" spans="2:10" x14ac:dyDescent="0.3">
      <c r="B60" s="23">
        <v>18</v>
      </c>
      <c r="C60" s="22" t="s">
        <v>55</v>
      </c>
      <c r="D60" s="22" t="s">
        <v>72</v>
      </c>
      <c r="E60" s="24">
        <v>41467</v>
      </c>
      <c r="F60" s="30">
        <v>0.35416666666666702</v>
      </c>
      <c r="G60" s="30">
        <v>0.625</v>
      </c>
      <c r="H60" s="170">
        <f t="shared" si="1"/>
        <v>0.27083333333333298</v>
      </c>
      <c r="I60" s="171">
        <f t="shared" si="3"/>
        <v>95</v>
      </c>
      <c r="J60" s="172">
        <f t="shared" si="2"/>
        <v>617.4999999999992</v>
      </c>
    </row>
    <row r="61" spans="2:10" x14ac:dyDescent="0.3">
      <c r="B61" s="23">
        <v>19</v>
      </c>
      <c r="C61" s="22" t="s">
        <v>54</v>
      </c>
      <c r="D61" s="22" t="s">
        <v>75</v>
      </c>
      <c r="E61" s="24">
        <v>41469</v>
      </c>
      <c r="F61" s="30">
        <v>0.35416666666666702</v>
      </c>
      <c r="G61" s="30">
        <v>0.64583333333333337</v>
      </c>
      <c r="H61" s="170">
        <f t="shared" si="1"/>
        <v>0.29166666666666635</v>
      </c>
      <c r="I61" s="171">
        <f t="shared" si="3"/>
        <v>150</v>
      </c>
      <c r="J61" s="172">
        <f t="shared" si="2"/>
        <v>1049.9999999999989</v>
      </c>
    </row>
    <row r="62" spans="2:10" x14ac:dyDescent="0.3">
      <c r="B62" s="23">
        <v>19</v>
      </c>
      <c r="C62" s="22" t="s">
        <v>54</v>
      </c>
      <c r="D62" s="22" t="s">
        <v>73</v>
      </c>
      <c r="E62" s="24">
        <v>41472</v>
      </c>
      <c r="F62" s="30">
        <v>0.54166666666666663</v>
      </c>
      <c r="G62" s="30">
        <v>0.625</v>
      </c>
      <c r="H62" s="170">
        <f t="shared" si="1"/>
        <v>8.333333333333337E-2</v>
      </c>
      <c r="I62" s="171">
        <f t="shared" si="3"/>
        <v>150</v>
      </c>
      <c r="J62" s="172">
        <f t="shared" si="2"/>
        <v>300.00000000000011</v>
      </c>
    </row>
    <row r="63" spans="2:10" x14ac:dyDescent="0.3">
      <c r="B63" s="23">
        <v>20</v>
      </c>
      <c r="C63" s="22" t="s">
        <v>53</v>
      </c>
      <c r="D63" s="22" t="s">
        <v>69</v>
      </c>
      <c r="E63" s="24">
        <v>41478</v>
      </c>
      <c r="F63" s="30">
        <v>0.375</v>
      </c>
      <c r="G63" s="30">
        <v>0.65625</v>
      </c>
      <c r="H63" s="170">
        <f t="shared" si="1"/>
        <v>0.28125</v>
      </c>
      <c r="I63" s="171">
        <f t="shared" si="3"/>
        <v>200</v>
      </c>
      <c r="J63" s="172">
        <f t="shared" si="2"/>
        <v>1350</v>
      </c>
    </row>
    <row r="64" spans="2:10" x14ac:dyDescent="0.3">
      <c r="B64" s="23">
        <v>20</v>
      </c>
      <c r="C64" s="22" t="s">
        <v>53</v>
      </c>
      <c r="D64" s="22" t="s">
        <v>72</v>
      </c>
      <c r="E64" s="24">
        <v>41479</v>
      </c>
      <c r="F64" s="30">
        <v>0.41666666666666669</v>
      </c>
      <c r="G64" s="30">
        <v>0.75</v>
      </c>
      <c r="H64" s="170">
        <f t="shared" si="1"/>
        <v>0.33333333333333331</v>
      </c>
      <c r="I64" s="171">
        <f t="shared" si="3"/>
        <v>200</v>
      </c>
      <c r="J64" s="172">
        <f t="shared" si="2"/>
        <v>1599.9999999999998</v>
      </c>
    </row>
    <row r="65" spans="2:10" x14ac:dyDescent="0.3">
      <c r="B65" s="23">
        <v>21</v>
      </c>
      <c r="C65" s="22" t="s">
        <v>54</v>
      </c>
      <c r="D65" s="22" t="s">
        <v>75</v>
      </c>
      <c r="E65" s="24">
        <v>41477</v>
      </c>
      <c r="F65" s="30">
        <v>0.35416666666666669</v>
      </c>
      <c r="G65" s="30">
        <v>0.58333333333333337</v>
      </c>
      <c r="H65" s="170">
        <f t="shared" si="1"/>
        <v>0.22916666666666669</v>
      </c>
      <c r="I65" s="171">
        <f t="shared" si="3"/>
        <v>150</v>
      </c>
      <c r="J65" s="172">
        <f t="shared" si="2"/>
        <v>825</v>
      </c>
    </row>
    <row r="66" spans="2:10" x14ac:dyDescent="0.3">
      <c r="B66" s="23">
        <v>21</v>
      </c>
      <c r="C66" s="22" t="s">
        <v>54</v>
      </c>
      <c r="D66" s="22" t="s">
        <v>73</v>
      </c>
      <c r="E66" s="24">
        <v>41478</v>
      </c>
      <c r="F66" s="30">
        <v>0.58333333333333337</v>
      </c>
      <c r="G66" s="30">
        <v>0.91666666666666663</v>
      </c>
      <c r="H66" s="170">
        <f t="shared" si="1"/>
        <v>0.33333333333333326</v>
      </c>
      <c r="I66" s="171">
        <f t="shared" si="3"/>
        <v>150</v>
      </c>
      <c r="J66" s="172">
        <f t="shared" si="2"/>
        <v>1199.9999999999995</v>
      </c>
    </row>
    <row r="67" spans="2:10" x14ac:dyDescent="0.3">
      <c r="B67" s="23">
        <v>22</v>
      </c>
      <c r="C67" s="22" t="s">
        <v>54</v>
      </c>
      <c r="D67" s="22" t="s">
        <v>69</v>
      </c>
      <c r="E67" s="24">
        <v>41473</v>
      </c>
      <c r="F67" s="30">
        <v>0.5</v>
      </c>
      <c r="G67" s="30">
        <v>0.875</v>
      </c>
      <c r="H67" s="170">
        <f t="shared" si="1"/>
        <v>0.375</v>
      </c>
      <c r="I67" s="171">
        <f t="shared" si="3"/>
        <v>150</v>
      </c>
      <c r="J67" s="172">
        <f t="shared" si="2"/>
        <v>1350</v>
      </c>
    </row>
    <row r="68" spans="2:10" x14ac:dyDescent="0.3">
      <c r="B68" s="23">
        <v>23</v>
      </c>
      <c r="C68" s="22" t="s">
        <v>54</v>
      </c>
      <c r="D68" s="22" t="s">
        <v>70</v>
      </c>
      <c r="E68" s="24">
        <v>41473</v>
      </c>
      <c r="F68" s="30">
        <v>0.36458333333333331</v>
      </c>
      <c r="G68" s="30">
        <v>0.75</v>
      </c>
      <c r="H68" s="170">
        <f t="shared" si="1"/>
        <v>0.38541666666666669</v>
      </c>
      <c r="I68" s="171">
        <f t="shared" si="3"/>
        <v>150</v>
      </c>
      <c r="J68" s="172">
        <f t="shared" si="2"/>
        <v>1387.5</v>
      </c>
    </row>
    <row r="69" spans="2:10" x14ac:dyDescent="0.3">
      <c r="B69" s="23">
        <v>24</v>
      </c>
      <c r="C69" s="22" t="s">
        <v>55</v>
      </c>
      <c r="D69" s="22" t="s">
        <v>72</v>
      </c>
      <c r="E69" s="24">
        <v>41474</v>
      </c>
      <c r="F69" s="30">
        <v>0.375</v>
      </c>
      <c r="G69" s="30">
        <v>0.58333333333333337</v>
      </c>
      <c r="H69" s="170">
        <f t="shared" si="1"/>
        <v>0.20833333333333337</v>
      </c>
      <c r="I69" s="171">
        <f t="shared" si="3"/>
        <v>95</v>
      </c>
      <c r="J69" s="172">
        <f t="shared" si="2"/>
        <v>475.00000000000011</v>
      </c>
    </row>
    <row r="70" spans="2:10" x14ac:dyDescent="0.3">
      <c r="B70" s="23">
        <v>24</v>
      </c>
      <c r="C70" s="22" t="s">
        <v>55</v>
      </c>
      <c r="D70" s="22" t="s">
        <v>75</v>
      </c>
      <c r="E70" s="24">
        <v>41475</v>
      </c>
      <c r="F70" s="30">
        <v>0.44791666666666669</v>
      </c>
      <c r="G70" s="30">
        <v>0.625</v>
      </c>
      <c r="H70" s="170">
        <f t="shared" si="1"/>
        <v>0.17708333333333331</v>
      </c>
      <c r="I70" s="171">
        <f t="shared" si="3"/>
        <v>95</v>
      </c>
      <c r="J70" s="172">
        <f t="shared" si="2"/>
        <v>403.74999999999994</v>
      </c>
    </row>
    <row r="71" spans="2:10" x14ac:dyDescent="0.3">
      <c r="B71" s="23">
        <v>25</v>
      </c>
      <c r="C71" s="22" t="s">
        <v>54</v>
      </c>
      <c r="D71" s="22" t="s">
        <v>73</v>
      </c>
      <c r="E71" s="24">
        <v>41477</v>
      </c>
      <c r="F71" s="30">
        <v>0.45833333333333331</v>
      </c>
      <c r="G71" s="30">
        <v>0.66666666666666663</v>
      </c>
      <c r="H71" s="170">
        <f t="shared" si="1"/>
        <v>0.20833333333333331</v>
      </c>
      <c r="I71" s="171">
        <f t="shared" si="3"/>
        <v>150</v>
      </c>
      <c r="J71" s="172">
        <f t="shared" si="2"/>
        <v>749.99999999999989</v>
      </c>
    </row>
    <row r="72" spans="2:10" x14ac:dyDescent="0.3">
      <c r="B72" s="23">
        <v>25</v>
      </c>
      <c r="C72" s="22" t="s">
        <v>54</v>
      </c>
      <c r="D72" s="22" t="s">
        <v>69</v>
      </c>
      <c r="E72" s="24">
        <v>41479</v>
      </c>
      <c r="F72" s="30">
        <v>0.29166666666666669</v>
      </c>
      <c r="G72" s="30">
        <v>0.5</v>
      </c>
      <c r="H72" s="170">
        <f t="shared" si="1"/>
        <v>0.20833333333333331</v>
      </c>
      <c r="I72" s="171">
        <f t="shared" si="3"/>
        <v>150</v>
      </c>
      <c r="J72" s="172">
        <f t="shared" si="2"/>
        <v>749.99999999999989</v>
      </c>
    </row>
    <row r="73" spans="2:10" x14ac:dyDescent="0.3">
      <c r="B73" s="23">
        <v>26</v>
      </c>
      <c r="C73" s="22" t="s">
        <v>54</v>
      </c>
      <c r="D73" s="22" t="s">
        <v>74</v>
      </c>
      <c r="E73" s="24">
        <v>41483</v>
      </c>
      <c r="F73" s="30">
        <v>0.41666666666666669</v>
      </c>
      <c r="G73" s="30">
        <v>0.58333333333333337</v>
      </c>
      <c r="H73" s="170">
        <f t="shared" si="1"/>
        <v>0.16666666666666669</v>
      </c>
      <c r="I73" s="171">
        <f t="shared" si="3"/>
        <v>150</v>
      </c>
      <c r="J73" s="172">
        <f t="shared" si="2"/>
        <v>600.00000000000011</v>
      </c>
    </row>
    <row r="74" spans="2:10" x14ac:dyDescent="0.3">
      <c r="B74" s="23">
        <v>26</v>
      </c>
      <c r="C74" s="22" t="s">
        <v>54</v>
      </c>
      <c r="D74" s="22" t="s">
        <v>70</v>
      </c>
      <c r="E74" s="24">
        <v>41484</v>
      </c>
      <c r="F74" s="30">
        <v>0.28125</v>
      </c>
      <c r="G74" s="30">
        <v>0.66666666666666663</v>
      </c>
      <c r="H74" s="170">
        <f t="shared" si="1"/>
        <v>0.38541666666666663</v>
      </c>
      <c r="I74" s="171">
        <f t="shared" ref="I74:I105" si="4">VLOOKUP(C74,Work_Codes,3,0)</f>
        <v>150</v>
      </c>
      <c r="J74" s="172">
        <f t="shared" si="2"/>
        <v>1387.4999999999998</v>
      </c>
    </row>
    <row r="75" spans="2:10" x14ac:dyDescent="0.3">
      <c r="B75" s="23">
        <v>27</v>
      </c>
      <c r="C75" s="22" t="s">
        <v>54</v>
      </c>
      <c r="D75" s="22" t="s">
        <v>72</v>
      </c>
      <c r="E75" s="24">
        <v>41484</v>
      </c>
      <c r="F75" s="30">
        <v>0.61458333333333337</v>
      </c>
      <c r="G75" s="30">
        <v>0.6875</v>
      </c>
      <c r="H75" s="170">
        <f t="shared" ref="H75:H111" si="5">(G75-F75)</f>
        <v>7.291666666666663E-2</v>
      </c>
      <c r="I75" s="171">
        <f t="shared" si="4"/>
        <v>150</v>
      </c>
      <c r="J75" s="172">
        <f t="shared" ref="J75:J111" si="6">H75*I75*24</f>
        <v>262.49999999999989</v>
      </c>
    </row>
    <row r="76" spans="2:10" x14ac:dyDescent="0.3">
      <c r="B76" s="23">
        <v>28</v>
      </c>
      <c r="C76" s="22" t="s">
        <v>54</v>
      </c>
      <c r="D76" s="22" t="s">
        <v>75</v>
      </c>
      <c r="E76" s="24">
        <v>41484</v>
      </c>
      <c r="F76" s="30">
        <v>0.58333333333333337</v>
      </c>
      <c r="G76" s="30">
        <v>0.73958333333333337</v>
      </c>
      <c r="H76" s="170">
        <f t="shared" si="5"/>
        <v>0.15625</v>
      </c>
      <c r="I76" s="171">
        <f t="shared" si="4"/>
        <v>150</v>
      </c>
      <c r="J76" s="172">
        <f t="shared" si="6"/>
        <v>562.5</v>
      </c>
    </row>
    <row r="77" spans="2:10" x14ac:dyDescent="0.3">
      <c r="B77" s="23">
        <v>28</v>
      </c>
      <c r="C77" s="22" t="s">
        <v>54</v>
      </c>
      <c r="D77" s="22" t="s">
        <v>73</v>
      </c>
      <c r="E77" s="24">
        <v>41485</v>
      </c>
      <c r="F77" s="30">
        <v>0.5</v>
      </c>
      <c r="G77" s="30">
        <v>0.625</v>
      </c>
      <c r="H77" s="170">
        <f t="shared" si="5"/>
        <v>0.125</v>
      </c>
      <c r="I77" s="171">
        <f t="shared" si="4"/>
        <v>150</v>
      </c>
      <c r="J77" s="172">
        <f t="shared" si="6"/>
        <v>450</v>
      </c>
    </row>
    <row r="78" spans="2:10" x14ac:dyDescent="0.3">
      <c r="B78" s="23">
        <v>29</v>
      </c>
      <c r="C78" s="22" t="s">
        <v>53</v>
      </c>
      <c r="D78" s="22" t="s">
        <v>69</v>
      </c>
      <c r="E78" s="24">
        <v>41473</v>
      </c>
      <c r="F78" s="30">
        <v>0.36458333333333331</v>
      </c>
      <c r="G78" s="30">
        <v>0.66666666666666663</v>
      </c>
      <c r="H78" s="170">
        <f t="shared" si="5"/>
        <v>0.30208333333333331</v>
      </c>
      <c r="I78" s="171">
        <f t="shared" si="4"/>
        <v>200</v>
      </c>
      <c r="J78" s="172">
        <f t="shared" si="6"/>
        <v>1450</v>
      </c>
    </row>
    <row r="79" spans="2:10" x14ac:dyDescent="0.3">
      <c r="B79" s="23">
        <v>29</v>
      </c>
      <c r="C79" s="22" t="s">
        <v>53</v>
      </c>
      <c r="D79" s="22" t="s">
        <v>68</v>
      </c>
      <c r="E79" s="24">
        <v>41474</v>
      </c>
      <c r="F79" s="30">
        <v>0.375</v>
      </c>
      <c r="G79" s="30">
        <v>0.5</v>
      </c>
      <c r="H79" s="170">
        <f t="shared" si="5"/>
        <v>0.125</v>
      </c>
      <c r="I79" s="171">
        <f t="shared" si="4"/>
        <v>200</v>
      </c>
      <c r="J79" s="172">
        <f t="shared" si="6"/>
        <v>600</v>
      </c>
    </row>
    <row r="80" spans="2:10" x14ac:dyDescent="0.3">
      <c r="B80" s="23">
        <v>29</v>
      </c>
      <c r="C80" s="22" t="s">
        <v>53</v>
      </c>
      <c r="D80" s="22" t="s">
        <v>76</v>
      </c>
      <c r="E80" s="24">
        <v>41484</v>
      </c>
      <c r="F80" s="30">
        <v>0.35416666666666702</v>
      </c>
      <c r="G80" s="30">
        <v>0.75</v>
      </c>
      <c r="H80" s="170">
        <f t="shared" si="5"/>
        <v>0.39583333333333298</v>
      </c>
      <c r="I80" s="171">
        <f t="shared" si="4"/>
        <v>200</v>
      </c>
      <c r="J80" s="172">
        <f t="shared" si="6"/>
        <v>1899.9999999999984</v>
      </c>
    </row>
    <row r="81" spans="2:10" x14ac:dyDescent="0.3">
      <c r="B81" s="23">
        <v>30</v>
      </c>
      <c r="C81" s="22" t="s">
        <v>53</v>
      </c>
      <c r="D81" s="22" t="s">
        <v>74</v>
      </c>
      <c r="E81" s="24">
        <v>41483</v>
      </c>
      <c r="F81" s="30">
        <v>0.44791666666666669</v>
      </c>
      <c r="G81" s="30">
        <v>0.58333333333333337</v>
      </c>
      <c r="H81" s="170">
        <f t="shared" si="5"/>
        <v>0.13541666666666669</v>
      </c>
      <c r="I81" s="171">
        <f t="shared" si="4"/>
        <v>200</v>
      </c>
      <c r="J81" s="172">
        <f t="shared" si="6"/>
        <v>650</v>
      </c>
    </row>
    <row r="82" spans="2:10" x14ac:dyDescent="0.3">
      <c r="B82" s="23">
        <v>30</v>
      </c>
      <c r="C82" s="22" t="s">
        <v>53</v>
      </c>
      <c r="D82" s="22" t="s">
        <v>70</v>
      </c>
      <c r="E82" s="24">
        <v>41484</v>
      </c>
      <c r="F82" s="30">
        <v>0.45833333333333331</v>
      </c>
      <c r="G82" s="30">
        <v>0.66666666666666663</v>
      </c>
      <c r="H82" s="170">
        <f t="shared" si="5"/>
        <v>0.20833333333333331</v>
      </c>
      <c r="I82" s="171">
        <f t="shared" si="4"/>
        <v>200</v>
      </c>
      <c r="J82" s="172">
        <f t="shared" si="6"/>
        <v>1000</v>
      </c>
    </row>
    <row r="83" spans="2:10" x14ac:dyDescent="0.3">
      <c r="B83" s="23">
        <v>31</v>
      </c>
      <c r="C83" s="22" t="s">
        <v>54</v>
      </c>
      <c r="D83" s="22" t="s">
        <v>72</v>
      </c>
      <c r="E83" s="24">
        <v>41471</v>
      </c>
      <c r="F83" s="30">
        <v>0.375</v>
      </c>
      <c r="G83" s="30">
        <v>0.6875</v>
      </c>
      <c r="H83" s="170">
        <f t="shared" si="5"/>
        <v>0.3125</v>
      </c>
      <c r="I83" s="171">
        <f t="shared" si="4"/>
        <v>150</v>
      </c>
      <c r="J83" s="172">
        <f t="shared" si="6"/>
        <v>1125</v>
      </c>
    </row>
    <row r="84" spans="2:10" x14ac:dyDescent="0.3">
      <c r="B84" s="23">
        <v>31</v>
      </c>
      <c r="C84" s="22" t="s">
        <v>54</v>
      </c>
      <c r="D84" s="22" t="s">
        <v>75</v>
      </c>
      <c r="E84" s="24">
        <v>41472</v>
      </c>
      <c r="F84" s="30">
        <v>0.41666666666666669</v>
      </c>
      <c r="G84" s="30">
        <v>0.73958333333333337</v>
      </c>
      <c r="H84" s="170">
        <f t="shared" si="5"/>
        <v>0.32291666666666669</v>
      </c>
      <c r="I84" s="171">
        <f t="shared" si="4"/>
        <v>150</v>
      </c>
      <c r="J84" s="172">
        <f t="shared" si="6"/>
        <v>1162.5</v>
      </c>
    </row>
    <row r="85" spans="2:10" x14ac:dyDescent="0.3">
      <c r="B85" s="23">
        <v>32</v>
      </c>
      <c r="C85" s="22" t="s">
        <v>55</v>
      </c>
      <c r="D85" s="22" t="s">
        <v>73</v>
      </c>
      <c r="E85" s="24">
        <v>41473</v>
      </c>
      <c r="F85" s="30">
        <v>0.35416666666666669</v>
      </c>
      <c r="G85" s="30">
        <v>0.91666666666666663</v>
      </c>
      <c r="H85" s="170">
        <f t="shared" si="5"/>
        <v>0.5625</v>
      </c>
      <c r="I85" s="171">
        <f t="shared" si="4"/>
        <v>95</v>
      </c>
      <c r="J85" s="172">
        <f t="shared" si="6"/>
        <v>1282.5</v>
      </c>
    </row>
    <row r="86" spans="2:10" x14ac:dyDescent="0.3">
      <c r="B86" s="23">
        <v>33</v>
      </c>
      <c r="C86" s="22" t="s">
        <v>53</v>
      </c>
      <c r="D86" s="22" t="s">
        <v>68</v>
      </c>
      <c r="E86" s="24">
        <v>41477</v>
      </c>
      <c r="F86" s="30">
        <v>0.35416666666666702</v>
      </c>
      <c r="G86" s="30">
        <v>0.875</v>
      </c>
      <c r="H86" s="170">
        <f t="shared" si="5"/>
        <v>0.52083333333333304</v>
      </c>
      <c r="I86" s="171">
        <f t="shared" si="4"/>
        <v>200</v>
      </c>
      <c r="J86" s="172">
        <f t="shared" si="6"/>
        <v>2499.9999999999982</v>
      </c>
    </row>
    <row r="87" spans="2:10" x14ac:dyDescent="0.3">
      <c r="B87" s="23">
        <v>33</v>
      </c>
      <c r="C87" s="22" t="s">
        <v>53</v>
      </c>
      <c r="D87" s="22" t="s">
        <v>76</v>
      </c>
      <c r="E87" s="24">
        <v>41478</v>
      </c>
      <c r="F87" s="30">
        <v>0.33333333333333331</v>
      </c>
      <c r="G87" s="30">
        <v>0.70833333333333337</v>
      </c>
      <c r="H87" s="170">
        <f t="shared" si="5"/>
        <v>0.37500000000000006</v>
      </c>
      <c r="I87" s="171">
        <f t="shared" si="4"/>
        <v>200</v>
      </c>
      <c r="J87" s="172">
        <f t="shared" si="6"/>
        <v>1800.0000000000005</v>
      </c>
    </row>
    <row r="88" spans="2:10" x14ac:dyDescent="0.3">
      <c r="B88" s="23">
        <v>33</v>
      </c>
      <c r="C88" s="22" t="s">
        <v>53</v>
      </c>
      <c r="D88" s="22" t="s">
        <v>74</v>
      </c>
      <c r="E88" s="24">
        <v>41482</v>
      </c>
      <c r="F88" s="30">
        <v>0.33333333333333331</v>
      </c>
      <c r="G88" s="30">
        <v>0.75</v>
      </c>
      <c r="H88" s="170">
        <f t="shared" si="5"/>
        <v>0.41666666666666669</v>
      </c>
      <c r="I88" s="171">
        <f t="shared" si="4"/>
        <v>200</v>
      </c>
      <c r="J88" s="172">
        <f t="shared" si="6"/>
        <v>2000.0000000000002</v>
      </c>
    </row>
    <row r="89" spans="2:10" x14ac:dyDescent="0.3">
      <c r="B89" s="23">
        <v>33</v>
      </c>
      <c r="C89" s="22" t="s">
        <v>53</v>
      </c>
      <c r="D89" s="22" t="s">
        <v>70</v>
      </c>
      <c r="E89" s="24">
        <v>41483</v>
      </c>
      <c r="F89" s="30">
        <v>0.40625</v>
      </c>
      <c r="G89" s="30">
        <v>0.83333333333333337</v>
      </c>
      <c r="H89" s="170">
        <f t="shared" si="5"/>
        <v>0.42708333333333337</v>
      </c>
      <c r="I89" s="171">
        <f t="shared" si="4"/>
        <v>200</v>
      </c>
      <c r="J89" s="172">
        <f t="shared" si="6"/>
        <v>2050</v>
      </c>
    </row>
    <row r="90" spans="2:10" x14ac:dyDescent="0.3">
      <c r="B90" s="23">
        <v>33</v>
      </c>
      <c r="C90" s="22" t="s">
        <v>53</v>
      </c>
      <c r="D90" s="22" t="s">
        <v>72</v>
      </c>
      <c r="E90" s="24">
        <v>41484</v>
      </c>
      <c r="F90" s="30">
        <v>0.32291666666666669</v>
      </c>
      <c r="G90" s="30">
        <v>0.70833333333333337</v>
      </c>
      <c r="H90" s="170">
        <f t="shared" si="5"/>
        <v>0.38541666666666669</v>
      </c>
      <c r="I90" s="171">
        <f t="shared" si="4"/>
        <v>200</v>
      </c>
      <c r="J90" s="172">
        <f t="shared" si="6"/>
        <v>1850.0000000000002</v>
      </c>
    </row>
    <row r="91" spans="2:10" x14ac:dyDescent="0.3">
      <c r="B91" s="23">
        <v>33</v>
      </c>
      <c r="C91" s="22" t="s">
        <v>53</v>
      </c>
      <c r="D91" s="22" t="s">
        <v>75</v>
      </c>
      <c r="E91" s="24">
        <v>41486</v>
      </c>
      <c r="F91" s="30">
        <v>0.25</v>
      </c>
      <c r="G91" s="30">
        <v>0.625</v>
      </c>
      <c r="H91" s="170">
        <f t="shared" si="5"/>
        <v>0.375</v>
      </c>
      <c r="I91" s="171">
        <f t="shared" si="4"/>
        <v>200</v>
      </c>
      <c r="J91" s="172">
        <f t="shared" si="6"/>
        <v>1800</v>
      </c>
    </row>
    <row r="92" spans="2:10" x14ac:dyDescent="0.3">
      <c r="B92" s="23">
        <v>34</v>
      </c>
      <c r="C92" s="22" t="s">
        <v>53</v>
      </c>
      <c r="D92" s="22" t="s">
        <v>73</v>
      </c>
      <c r="E92" s="24">
        <v>41467</v>
      </c>
      <c r="F92" s="30">
        <v>0.25</v>
      </c>
      <c r="G92" s="30">
        <v>0.75</v>
      </c>
      <c r="H92" s="170">
        <f t="shared" si="5"/>
        <v>0.5</v>
      </c>
      <c r="I92" s="171">
        <f t="shared" si="4"/>
        <v>200</v>
      </c>
      <c r="J92" s="172">
        <f t="shared" si="6"/>
        <v>2400</v>
      </c>
    </row>
    <row r="93" spans="2:10" x14ac:dyDescent="0.3">
      <c r="B93" s="23">
        <v>34</v>
      </c>
      <c r="C93" s="22" t="s">
        <v>53</v>
      </c>
      <c r="D93" s="22" t="s">
        <v>69</v>
      </c>
      <c r="E93" s="24">
        <v>41468</v>
      </c>
      <c r="F93" s="30">
        <v>0.25</v>
      </c>
      <c r="G93" s="30">
        <v>0.75</v>
      </c>
      <c r="H93" s="170">
        <f t="shared" si="5"/>
        <v>0.5</v>
      </c>
      <c r="I93" s="171">
        <f t="shared" si="4"/>
        <v>200</v>
      </c>
      <c r="J93" s="172">
        <f t="shared" si="6"/>
        <v>2400</v>
      </c>
    </row>
    <row r="94" spans="2:10" x14ac:dyDescent="0.3">
      <c r="B94" s="23">
        <v>34</v>
      </c>
      <c r="C94" s="22" t="s">
        <v>53</v>
      </c>
      <c r="D94" s="22" t="s">
        <v>71</v>
      </c>
      <c r="E94" s="24">
        <v>41469</v>
      </c>
      <c r="F94" s="30">
        <v>0.25</v>
      </c>
      <c r="G94" s="30">
        <v>0.79166666666666663</v>
      </c>
      <c r="H94" s="170">
        <f t="shared" si="5"/>
        <v>0.54166666666666663</v>
      </c>
      <c r="I94" s="171">
        <f t="shared" si="4"/>
        <v>200</v>
      </c>
      <c r="J94" s="172">
        <f t="shared" si="6"/>
        <v>2600</v>
      </c>
    </row>
    <row r="95" spans="2:10" x14ac:dyDescent="0.3">
      <c r="B95" s="23">
        <v>34</v>
      </c>
      <c r="C95" s="22" t="s">
        <v>53</v>
      </c>
      <c r="D95" s="22" t="s">
        <v>67</v>
      </c>
      <c r="E95" s="24">
        <v>41485</v>
      </c>
      <c r="F95" s="30">
        <v>0.35416666666666702</v>
      </c>
      <c r="G95" s="30">
        <v>0.58333333333333337</v>
      </c>
      <c r="H95" s="170">
        <f t="shared" si="5"/>
        <v>0.22916666666666635</v>
      </c>
      <c r="I95" s="171">
        <f t="shared" si="4"/>
        <v>200</v>
      </c>
      <c r="J95" s="172">
        <f t="shared" si="6"/>
        <v>1099.9999999999986</v>
      </c>
    </row>
    <row r="96" spans="2:10" x14ac:dyDescent="0.3">
      <c r="B96" s="23">
        <v>34</v>
      </c>
      <c r="C96" s="22" t="s">
        <v>53</v>
      </c>
      <c r="D96" s="22" t="s">
        <v>70</v>
      </c>
      <c r="E96" s="24">
        <v>41486</v>
      </c>
      <c r="F96" s="30">
        <v>0.54166666666666663</v>
      </c>
      <c r="G96" s="30">
        <v>0.625</v>
      </c>
      <c r="H96" s="170">
        <f t="shared" si="5"/>
        <v>8.333333333333337E-2</v>
      </c>
      <c r="I96" s="171">
        <f t="shared" si="4"/>
        <v>200</v>
      </c>
      <c r="J96" s="172">
        <f t="shared" si="6"/>
        <v>400.00000000000023</v>
      </c>
    </row>
    <row r="97" spans="2:10" x14ac:dyDescent="0.3">
      <c r="B97" s="23">
        <v>35</v>
      </c>
      <c r="C97" s="22" t="s">
        <v>54</v>
      </c>
      <c r="D97" s="22" t="s">
        <v>72</v>
      </c>
      <c r="E97" s="24">
        <v>41465</v>
      </c>
      <c r="F97" s="30">
        <v>0.375</v>
      </c>
      <c r="G97" s="30">
        <v>0.66666666666666663</v>
      </c>
      <c r="H97" s="170">
        <f t="shared" si="5"/>
        <v>0.29166666666666663</v>
      </c>
      <c r="I97" s="171">
        <f t="shared" si="4"/>
        <v>150</v>
      </c>
      <c r="J97" s="172">
        <f t="shared" si="6"/>
        <v>1049.9999999999998</v>
      </c>
    </row>
    <row r="98" spans="2:10" x14ac:dyDescent="0.3">
      <c r="B98" s="23">
        <v>35</v>
      </c>
      <c r="C98" s="22" t="s">
        <v>54</v>
      </c>
      <c r="D98" s="22" t="s">
        <v>75</v>
      </c>
      <c r="E98" s="24">
        <v>41467</v>
      </c>
      <c r="F98" s="30">
        <v>0.375</v>
      </c>
      <c r="G98" s="30">
        <v>0.5</v>
      </c>
      <c r="H98" s="170">
        <f t="shared" si="5"/>
        <v>0.125</v>
      </c>
      <c r="I98" s="171">
        <f t="shared" si="4"/>
        <v>150</v>
      </c>
      <c r="J98" s="172">
        <f t="shared" si="6"/>
        <v>450</v>
      </c>
    </row>
    <row r="99" spans="2:10" x14ac:dyDescent="0.3">
      <c r="B99" s="23">
        <v>36</v>
      </c>
      <c r="C99" s="22" t="s">
        <v>54</v>
      </c>
      <c r="D99" s="22" t="s">
        <v>73</v>
      </c>
      <c r="E99" s="24">
        <v>41469</v>
      </c>
      <c r="F99" s="30">
        <v>0.41666666666666669</v>
      </c>
      <c r="G99" s="30">
        <v>0.58333333333333337</v>
      </c>
      <c r="H99" s="170">
        <f t="shared" si="5"/>
        <v>0.16666666666666669</v>
      </c>
      <c r="I99" s="171">
        <f t="shared" si="4"/>
        <v>150</v>
      </c>
      <c r="J99" s="172">
        <f t="shared" si="6"/>
        <v>600.00000000000011</v>
      </c>
    </row>
    <row r="100" spans="2:10" x14ac:dyDescent="0.3">
      <c r="B100" s="23">
        <v>36</v>
      </c>
      <c r="C100" s="22" t="s">
        <v>54</v>
      </c>
      <c r="D100" s="22" t="s">
        <v>69</v>
      </c>
      <c r="E100" s="24">
        <v>41472</v>
      </c>
      <c r="F100" s="30">
        <v>0.35416666666666669</v>
      </c>
      <c r="G100" s="30">
        <v>0.66666666666666663</v>
      </c>
      <c r="H100" s="170">
        <f t="shared" si="5"/>
        <v>0.31249999999999994</v>
      </c>
      <c r="I100" s="171">
        <f t="shared" si="4"/>
        <v>150</v>
      </c>
      <c r="J100" s="172">
        <f t="shared" si="6"/>
        <v>1124.9999999999998</v>
      </c>
    </row>
    <row r="101" spans="2:10" x14ac:dyDescent="0.3">
      <c r="B101" s="23">
        <v>36</v>
      </c>
      <c r="C101" s="22" t="s">
        <v>54</v>
      </c>
      <c r="D101" s="22" t="s">
        <v>75</v>
      </c>
      <c r="E101" s="24">
        <v>41473</v>
      </c>
      <c r="F101" s="30">
        <v>0.33333333333333331</v>
      </c>
      <c r="G101" s="30">
        <v>0.70833333333333337</v>
      </c>
      <c r="H101" s="170">
        <f t="shared" si="5"/>
        <v>0.37500000000000006</v>
      </c>
      <c r="I101" s="171">
        <f t="shared" si="4"/>
        <v>150</v>
      </c>
      <c r="J101" s="172">
        <f t="shared" si="6"/>
        <v>1350.0000000000002</v>
      </c>
    </row>
    <row r="102" spans="2:10" x14ac:dyDescent="0.3">
      <c r="B102" s="23">
        <v>36</v>
      </c>
      <c r="C102" s="22" t="s">
        <v>54</v>
      </c>
      <c r="D102" s="22" t="s">
        <v>73</v>
      </c>
      <c r="E102" s="24">
        <v>41475</v>
      </c>
      <c r="F102" s="30">
        <v>0.33333333333333331</v>
      </c>
      <c r="G102" s="30">
        <v>0.72916666666666663</v>
      </c>
      <c r="H102" s="170">
        <f t="shared" si="5"/>
        <v>0.39583333333333331</v>
      </c>
      <c r="I102" s="171">
        <f t="shared" si="4"/>
        <v>150</v>
      </c>
      <c r="J102" s="172">
        <f t="shared" si="6"/>
        <v>1425</v>
      </c>
    </row>
    <row r="103" spans="2:10" x14ac:dyDescent="0.3">
      <c r="B103" s="23">
        <v>36</v>
      </c>
      <c r="C103" s="22" t="s">
        <v>54</v>
      </c>
      <c r="D103" s="22" t="s">
        <v>69</v>
      </c>
      <c r="E103" s="24">
        <v>41476</v>
      </c>
      <c r="F103" s="30">
        <v>0.40625</v>
      </c>
      <c r="G103" s="30">
        <v>0.75</v>
      </c>
      <c r="H103" s="170">
        <f t="shared" si="5"/>
        <v>0.34375</v>
      </c>
      <c r="I103" s="171">
        <f t="shared" si="4"/>
        <v>150</v>
      </c>
      <c r="J103" s="172">
        <f t="shared" si="6"/>
        <v>1237.5</v>
      </c>
    </row>
    <row r="104" spans="2:10" x14ac:dyDescent="0.3">
      <c r="B104" s="23">
        <v>37</v>
      </c>
      <c r="C104" s="22" t="s">
        <v>53</v>
      </c>
      <c r="D104" s="22" t="s">
        <v>68</v>
      </c>
      <c r="E104" s="24">
        <v>41473</v>
      </c>
      <c r="F104" s="30">
        <v>0.35416666666666702</v>
      </c>
      <c r="G104" s="30">
        <v>0.6875</v>
      </c>
      <c r="H104" s="170">
        <f t="shared" si="5"/>
        <v>0.33333333333333298</v>
      </c>
      <c r="I104" s="171">
        <f t="shared" si="4"/>
        <v>200</v>
      </c>
      <c r="J104" s="172">
        <f t="shared" si="6"/>
        <v>1599.9999999999984</v>
      </c>
    </row>
    <row r="105" spans="2:10" x14ac:dyDescent="0.3">
      <c r="B105" s="23">
        <v>37</v>
      </c>
      <c r="C105" s="22" t="s">
        <v>53</v>
      </c>
      <c r="D105" s="22" t="s">
        <v>76</v>
      </c>
      <c r="E105" s="24">
        <v>41474</v>
      </c>
      <c r="F105" s="30">
        <v>0.35416666666666702</v>
      </c>
      <c r="G105" s="30">
        <v>0.91666666666666663</v>
      </c>
      <c r="H105" s="170">
        <f t="shared" si="5"/>
        <v>0.56249999999999956</v>
      </c>
      <c r="I105" s="171">
        <f t="shared" si="4"/>
        <v>200</v>
      </c>
      <c r="J105" s="172">
        <f t="shared" si="6"/>
        <v>2699.9999999999982</v>
      </c>
    </row>
    <row r="106" spans="2:10" x14ac:dyDescent="0.3">
      <c r="B106" s="23">
        <v>38</v>
      </c>
      <c r="C106" s="22" t="s">
        <v>53</v>
      </c>
      <c r="D106" s="22" t="s">
        <v>74</v>
      </c>
      <c r="E106" s="24">
        <v>41482</v>
      </c>
      <c r="F106" s="30">
        <v>0.35416666666666702</v>
      </c>
      <c r="G106" s="30">
        <v>0.875</v>
      </c>
      <c r="H106" s="170">
        <f t="shared" si="5"/>
        <v>0.52083333333333304</v>
      </c>
      <c r="I106" s="171">
        <f t="shared" ref="I106:I111" si="7">VLOOKUP(C106,Work_Codes,3,0)</f>
        <v>200</v>
      </c>
      <c r="J106" s="172">
        <f t="shared" si="6"/>
        <v>2499.9999999999982</v>
      </c>
    </row>
    <row r="107" spans="2:10" x14ac:dyDescent="0.3">
      <c r="B107" s="23">
        <v>38</v>
      </c>
      <c r="C107" s="22" t="s">
        <v>53</v>
      </c>
      <c r="D107" s="22" t="s">
        <v>70</v>
      </c>
      <c r="E107" s="24">
        <v>41481</v>
      </c>
      <c r="F107" s="30">
        <v>0.54166666666666663</v>
      </c>
      <c r="G107" s="30">
        <v>0.75</v>
      </c>
      <c r="H107" s="170">
        <f t="shared" si="5"/>
        <v>0.20833333333333337</v>
      </c>
      <c r="I107" s="171">
        <f t="shared" si="7"/>
        <v>200</v>
      </c>
      <c r="J107" s="172">
        <f t="shared" si="6"/>
        <v>1000.0000000000001</v>
      </c>
    </row>
    <row r="108" spans="2:10" x14ac:dyDescent="0.3">
      <c r="B108" s="23">
        <v>39</v>
      </c>
      <c r="C108" s="22" t="s">
        <v>55</v>
      </c>
      <c r="D108" s="22" t="s">
        <v>72</v>
      </c>
      <c r="E108" s="24">
        <v>41483</v>
      </c>
      <c r="F108" s="30">
        <v>0.375</v>
      </c>
      <c r="G108" s="30">
        <v>0.58333333333333337</v>
      </c>
      <c r="H108" s="170">
        <f t="shared" si="5"/>
        <v>0.20833333333333337</v>
      </c>
      <c r="I108" s="171">
        <f t="shared" si="7"/>
        <v>95</v>
      </c>
      <c r="J108" s="172">
        <f t="shared" si="6"/>
        <v>475.00000000000011</v>
      </c>
    </row>
    <row r="109" spans="2:10" x14ac:dyDescent="0.3">
      <c r="B109" s="23">
        <v>39</v>
      </c>
      <c r="C109" s="22" t="s">
        <v>55</v>
      </c>
      <c r="D109" s="22" t="s">
        <v>75</v>
      </c>
      <c r="E109" s="24">
        <v>41486</v>
      </c>
      <c r="F109" s="30">
        <v>0.5</v>
      </c>
      <c r="G109" s="30">
        <v>0.625</v>
      </c>
      <c r="H109" s="170">
        <f t="shared" si="5"/>
        <v>0.125</v>
      </c>
      <c r="I109" s="171">
        <f t="shared" si="7"/>
        <v>95</v>
      </c>
      <c r="J109" s="172">
        <f t="shared" si="6"/>
        <v>285</v>
      </c>
    </row>
    <row r="110" spans="2:10" x14ac:dyDescent="0.3">
      <c r="B110" s="23">
        <v>40</v>
      </c>
      <c r="C110" s="22" t="s">
        <v>54</v>
      </c>
      <c r="D110" s="22" t="s">
        <v>73</v>
      </c>
      <c r="E110" s="24">
        <v>41457</v>
      </c>
      <c r="F110" s="30">
        <v>0.58333333333333337</v>
      </c>
      <c r="G110" s="30">
        <v>0.66666666666666663</v>
      </c>
      <c r="H110" s="170">
        <f t="shared" si="5"/>
        <v>8.3333333333333259E-2</v>
      </c>
      <c r="I110" s="171">
        <f t="shared" si="7"/>
        <v>150</v>
      </c>
      <c r="J110" s="172">
        <f t="shared" si="6"/>
        <v>299.99999999999977</v>
      </c>
    </row>
    <row r="111" spans="2:10" x14ac:dyDescent="0.3">
      <c r="B111" s="23">
        <v>40</v>
      </c>
      <c r="C111" s="22" t="s">
        <v>54</v>
      </c>
      <c r="D111" s="22" t="s">
        <v>69</v>
      </c>
      <c r="E111" s="24">
        <v>41473</v>
      </c>
      <c r="F111" s="30">
        <v>0.33333333333333331</v>
      </c>
      <c r="G111" s="30">
        <v>0.5</v>
      </c>
      <c r="H111" s="170">
        <f t="shared" si="5"/>
        <v>0.16666666666666669</v>
      </c>
      <c r="I111" s="171">
        <f t="shared" si="7"/>
        <v>150</v>
      </c>
      <c r="J111" s="172">
        <f t="shared" si="6"/>
        <v>600.00000000000011</v>
      </c>
    </row>
    <row r="112" spans="2:10" x14ac:dyDescent="0.3">
      <c r="B112" s="31"/>
      <c r="C112" s="31"/>
      <c r="D112" s="32"/>
      <c r="E112" s="31"/>
      <c r="F112" s="31"/>
      <c r="G112" s="33"/>
      <c r="H112" s="31"/>
      <c r="I112" s="31"/>
      <c r="J112" s="151"/>
    </row>
    <row r="113" spans="2:9" x14ac:dyDescent="0.3">
      <c r="B113" s="31"/>
      <c r="C113" s="31"/>
      <c r="D113" s="32"/>
      <c r="E113" s="31"/>
      <c r="F113" s="31"/>
      <c r="G113" s="33"/>
      <c r="H113" s="31"/>
      <c r="I113" s="31"/>
    </row>
    <row r="114" spans="2:9" x14ac:dyDescent="0.3">
      <c r="B114" s="31"/>
      <c r="C114" s="31"/>
      <c r="D114" s="31"/>
      <c r="E114" s="31"/>
      <c r="F114" s="31"/>
      <c r="G114" s="33"/>
      <c r="H114" s="31"/>
      <c r="I114" s="31"/>
    </row>
    <row r="115" spans="2:9" x14ac:dyDescent="0.3">
      <c r="B115" s="31"/>
      <c r="C115" s="31"/>
      <c r="D115" s="31"/>
      <c r="E115" s="31"/>
      <c r="F115" s="31"/>
      <c r="G115" s="31"/>
      <c r="H115" s="31"/>
      <c r="I115" s="31"/>
    </row>
    <row r="116" spans="2:9" x14ac:dyDescent="0.3">
      <c r="B116" s="31"/>
      <c r="C116" s="31"/>
      <c r="D116" s="31"/>
      <c r="E116" s="31"/>
      <c r="F116" s="31"/>
      <c r="G116" s="31"/>
      <c r="H116" s="31"/>
      <c r="I116" s="31"/>
    </row>
    <row r="117" spans="2:9" x14ac:dyDescent="0.3">
      <c r="B117" s="31"/>
      <c r="C117" s="31"/>
      <c r="D117" s="31"/>
      <c r="E117" s="31"/>
      <c r="F117" s="31"/>
      <c r="G117" s="31"/>
      <c r="H117" s="31"/>
      <c r="I117" s="31"/>
    </row>
    <row r="118" spans="2:9" x14ac:dyDescent="0.3">
      <c r="B118" s="31"/>
      <c r="C118" s="31"/>
      <c r="D118" s="31"/>
      <c r="E118" s="31"/>
      <c r="F118" s="31"/>
      <c r="G118" s="31"/>
      <c r="H118" s="31"/>
      <c r="I118" s="31"/>
    </row>
    <row r="119" spans="2:9" x14ac:dyDescent="0.3">
      <c r="B119" s="31"/>
      <c r="C119" s="31"/>
      <c r="D119" s="31"/>
      <c r="E119" s="31"/>
      <c r="F119" s="31"/>
      <c r="G119" s="31"/>
      <c r="H119" s="31"/>
      <c r="I119" s="31"/>
    </row>
    <row r="120" spans="2:9" x14ac:dyDescent="0.3">
      <c r="B120" s="31"/>
      <c r="C120" s="31"/>
      <c r="D120" s="31"/>
      <c r="E120" s="31"/>
      <c r="F120" s="31"/>
      <c r="G120" s="31"/>
      <c r="H120" s="31"/>
      <c r="I120" s="31"/>
    </row>
    <row r="121" spans="2:9" x14ac:dyDescent="0.3">
      <c r="B121" s="31"/>
      <c r="C121" s="31"/>
      <c r="D121" s="31"/>
      <c r="E121" s="31"/>
      <c r="F121" s="31"/>
      <c r="G121" s="31"/>
      <c r="H121" s="31"/>
      <c r="I121" s="31"/>
    </row>
    <row r="122" spans="2:9" x14ac:dyDescent="0.3">
      <c r="B122" s="31"/>
      <c r="C122" s="31"/>
      <c r="D122" s="31"/>
      <c r="E122" s="31"/>
      <c r="F122" s="31"/>
      <c r="G122" s="31"/>
      <c r="H122" s="31"/>
      <c r="I122" s="31"/>
    </row>
    <row r="123" spans="2:9" x14ac:dyDescent="0.3">
      <c r="B123" s="31"/>
      <c r="C123" s="31"/>
      <c r="D123" s="31"/>
      <c r="E123" s="31"/>
      <c r="F123" s="31"/>
      <c r="G123" s="31"/>
      <c r="H123" s="31"/>
      <c r="I123" s="31"/>
    </row>
    <row r="124" spans="2:9" x14ac:dyDescent="0.3">
      <c r="B124" s="31"/>
      <c r="C124" s="31"/>
      <c r="D124" s="31"/>
      <c r="E124" s="31"/>
      <c r="F124" s="31"/>
      <c r="G124" s="31"/>
      <c r="H124" s="31"/>
      <c r="I124" s="31"/>
    </row>
    <row r="125" spans="2:9" x14ac:dyDescent="0.3">
      <c r="B125" s="31"/>
      <c r="C125" s="31"/>
      <c r="D125" s="31"/>
      <c r="E125" s="31"/>
      <c r="F125" s="31"/>
      <c r="G125" s="31"/>
      <c r="H125" s="31"/>
      <c r="I125" s="31"/>
    </row>
    <row r="126" spans="2:9" x14ac:dyDescent="0.3">
      <c r="B126" s="31"/>
      <c r="C126" s="31"/>
      <c r="D126" s="31"/>
      <c r="E126" s="31"/>
      <c r="F126" s="31"/>
      <c r="G126" s="31"/>
      <c r="H126" s="31"/>
      <c r="I126" s="31"/>
    </row>
    <row r="127" spans="2:9" x14ac:dyDescent="0.3">
      <c r="B127" s="31"/>
      <c r="C127" s="31"/>
      <c r="D127" s="31"/>
      <c r="E127" s="31"/>
      <c r="F127" s="31"/>
      <c r="G127" s="31"/>
      <c r="H127" s="31"/>
      <c r="I127" s="31"/>
    </row>
    <row r="128" spans="2:9" x14ac:dyDescent="0.3">
      <c r="B128" s="31"/>
      <c r="C128" s="31"/>
      <c r="D128" s="31"/>
      <c r="E128" s="31"/>
      <c r="F128" s="31"/>
      <c r="G128" s="31"/>
      <c r="H128" s="31"/>
      <c r="I128" s="31"/>
    </row>
    <row r="129" spans="2:9" x14ac:dyDescent="0.3">
      <c r="B129" s="31"/>
      <c r="C129" s="31"/>
      <c r="D129" s="31"/>
      <c r="E129" s="31"/>
      <c r="F129" s="31"/>
      <c r="G129" s="31"/>
      <c r="H129" s="31"/>
      <c r="I129" s="31"/>
    </row>
    <row r="130" spans="2:9" x14ac:dyDescent="0.3">
      <c r="B130" s="31"/>
      <c r="C130" s="31"/>
      <c r="D130" s="31"/>
      <c r="E130" s="31"/>
      <c r="F130" s="31"/>
      <c r="G130" s="31"/>
      <c r="H130" s="31"/>
      <c r="I130" s="31"/>
    </row>
    <row r="131" spans="2:9" x14ac:dyDescent="0.3">
      <c r="B131" s="31"/>
      <c r="C131" s="31"/>
      <c r="D131" s="31"/>
      <c r="E131" s="31"/>
      <c r="F131" s="31"/>
      <c r="G131" s="31"/>
      <c r="H131" s="31"/>
      <c r="I131" s="31"/>
    </row>
    <row r="132" spans="2:9" x14ac:dyDescent="0.3">
      <c r="B132" s="31"/>
      <c r="C132" s="31"/>
      <c r="D132" s="31"/>
      <c r="E132" s="31"/>
      <c r="F132" s="31"/>
      <c r="G132" s="31"/>
      <c r="H132" s="31"/>
      <c r="I132" s="31"/>
    </row>
    <row r="133" spans="2:9" x14ac:dyDescent="0.3">
      <c r="B133" s="31"/>
      <c r="C133" s="31"/>
      <c r="D133" s="31"/>
      <c r="E133" s="31"/>
      <c r="F133" s="31"/>
      <c r="G133" s="31"/>
      <c r="H133" s="31"/>
      <c r="I133" s="31"/>
    </row>
    <row r="134" spans="2:9" x14ac:dyDescent="0.3">
      <c r="B134" s="31"/>
      <c r="C134" s="31"/>
      <c r="D134" s="31"/>
      <c r="E134" s="31"/>
      <c r="F134" s="31"/>
      <c r="G134" s="31"/>
      <c r="H134" s="31"/>
      <c r="I134" s="31"/>
    </row>
    <row r="135" spans="2:9" x14ac:dyDescent="0.3">
      <c r="B135" s="31"/>
      <c r="C135" s="31"/>
      <c r="D135" s="31"/>
      <c r="E135" s="31"/>
      <c r="F135" s="31"/>
      <c r="G135" s="31"/>
      <c r="H135" s="31"/>
      <c r="I135" s="31"/>
    </row>
    <row r="136" spans="2:9" x14ac:dyDescent="0.3">
      <c r="B136" s="31"/>
      <c r="C136" s="31"/>
      <c r="D136" s="31"/>
      <c r="E136" s="31"/>
      <c r="F136" s="31"/>
      <c r="G136" s="31"/>
      <c r="H136" s="31"/>
      <c r="I136" s="31"/>
    </row>
    <row r="137" spans="2:9" x14ac:dyDescent="0.3">
      <c r="B137" s="31"/>
      <c r="C137" s="31"/>
      <c r="D137" s="31"/>
      <c r="E137" s="31"/>
      <c r="F137" s="31"/>
      <c r="G137" s="31"/>
      <c r="H137" s="31"/>
      <c r="I137" s="31"/>
    </row>
    <row r="138" spans="2:9" x14ac:dyDescent="0.3">
      <c r="B138" s="31"/>
      <c r="C138" s="31"/>
      <c r="D138" s="31"/>
      <c r="E138" s="31"/>
      <c r="F138" s="31"/>
      <c r="G138" s="31"/>
      <c r="H138" s="31"/>
      <c r="I138" s="31"/>
    </row>
    <row r="139" spans="2:9" x14ac:dyDescent="0.3">
      <c r="B139" s="31"/>
      <c r="C139" s="31"/>
      <c r="D139" s="31"/>
      <c r="E139" s="31"/>
      <c r="F139" s="31"/>
      <c r="G139" s="31"/>
      <c r="H139" s="31"/>
      <c r="I139" s="31"/>
    </row>
    <row r="140" spans="2:9" x14ac:dyDescent="0.3">
      <c r="B140" s="31"/>
      <c r="C140" s="31"/>
      <c r="D140" s="31"/>
      <c r="E140" s="31"/>
      <c r="F140" s="31"/>
      <c r="G140" s="31"/>
      <c r="H140" s="31"/>
      <c r="I140" s="31"/>
    </row>
    <row r="141" spans="2:9" x14ac:dyDescent="0.3">
      <c r="B141" s="31"/>
      <c r="C141" s="31"/>
      <c r="D141" s="31"/>
      <c r="E141" s="31"/>
      <c r="F141" s="31"/>
      <c r="G141" s="31"/>
      <c r="H141" s="31"/>
      <c r="I141" s="31"/>
    </row>
    <row r="142" spans="2:9" x14ac:dyDescent="0.3">
      <c r="B142" s="31"/>
      <c r="C142" s="31"/>
      <c r="D142" s="31"/>
      <c r="E142" s="31"/>
      <c r="F142" s="31"/>
      <c r="G142" s="31"/>
      <c r="H142" s="31"/>
      <c r="I142" s="31"/>
    </row>
    <row r="143" spans="2:9" x14ac:dyDescent="0.3">
      <c r="B143" s="31"/>
      <c r="C143" s="31"/>
      <c r="D143" s="31"/>
      <c r="E143" s="31"/>
      <c r="F143" s="31"/>
      <c r="G143" s="31"/>
      <c r="H143" s="31"/>
      <c r="I143" s="31"/>
    </row>
    <row r="144" spans="2:9" x14ac:dyDescent="0.3">
      <c r="B144" s="31"/>
      <c r="C144" s="31"/>
      <c r="D144" s="31"/>
      <c r="E144" s="31"/>
      <c r="F144" s="31"/>
      <c r="G144" s="31"/>
      <c r="H144" s="31"/>
      <c r="I144" s="31"/>
    </row>
    <row r="145" spans="2:9" x14ac:dyDescent="0.3">
      <c r="B145" s="31"/>
      <c r="C145" s="31"/>
      <c r="D145" s="31"/>
      <c r="E145" s="31"/>
      <c r="F145" s="31"/>
      <c r="G145" s="31"/>
      <c r="H145" s="31"/>
      <c r="I145" s="31"/>
    </row>
    <row r="146" spans="2:9" x14ac:dyDescent="0.3">
      <c r="B146" s="31"/>
      <c r="C146" s="31"/>
      <c r="D146" s="31"/>
      <c r="E146" s="31"/>
      <c r="F146" s="31"/>
      <c r="G146" s="31"/>
      <c r="H146" s="31"/>
      <c r="I146" s="31"/>
    </row>
    <row r="147" spans="2:9" x14ac:dyDescent="0.3">
      <c r="B147" s="31"/>
      <c r="C147" s="31"/>
      <c r="D147" s="31"/>
      <c r="E147" s="31"/>
      <c r="F147" s="31"/>
      <c r="G147" s="31"/>
      <c r="H147" s="31"/>
      <c r="I147" s="31"/>
    </row>
    <row r="148" spans="2:9" x14ac:dyDescent="0.3">
      <c r="B148" s="31"/>
      <c r="C148" s="31"/>
      <c r="D148" s="31"/>
      <c r="E148" s="31"/>
      <c r="F148" s="31"/>
      <c r="G148" s="31"/>
      <c r="H148" s="31"/>
      <c r="I148" s="31"/>
    </row>
    <row r="149" spans="2:9" x14ac:dyDescent="0.3">
      <c r="B149" s="31"/>
      <c r="C149" s="31"/>
      <c r="D149" s="31"/>
      <c r="E149" s="31"/>
      <c r="F149" s="31"/>
      <c r="G149" s="31"/>
      <c r="H149" s="31"/>
      <c r="I149" s="31"/>
    </row>
    <row r="150" spans="2:9" x14ac:dyDescent="0.3">
      <c r="B150" s="31"/>
      <c r="C150" s="31"/>
      <c r="D150" s="31"/>
      <c r="E150" s="31"/>
      <c r="F150" s="31"/>
      <c r="G150" s="31"/>
      <c r="H150" s="31"/>
      <c r="I150" s="31"/>
    </row>
    <row r="151" spans="2:9" x14ac:dyDescent="0.3">
      <c r="B151" s="31"/>
      <c r="C151" s="31"/>
      <c r="D151" s="31"/>
      <c r="E151" s="31"/>
      <c r="F151" s="31"/>
      <c r="G151" s="31"/>
      <c r="H151" s="31"/>
      <c r="I151" s="31"/>
    </row>
    <row r="152" spans="2:9" x14ac:dyDescent="0.3">
      <c r="B152" s="31"/>
      <c r="C152" s="31"/>
      <c r="D152" s="31"/>
      <c r="E152" s="31"/>
      <c r="F152" s="31"/>
      <c r="G152" s="31"/>
      <c r="H152" s="31"/>
      <c r="I152" s="31"/>
    </row>
    <row r="153" spans="2:9" x14ac:dyDescent="0.3">
      <c r="B153" s="31"/>
      <c r="C153" s="31"/>
      <c r="D153" s="31"/>
      <c r="E153" s="31"/>
      <c r="F153" s="31"/>
      <c r="G153" s="31"/>
      <c r="H153" s="31"/>
      <c r="I153" s="31"/>
    </row>
    <row r="154" spans="2:9" x14ac:dyDescent="0.3">
      <c r="B154" s="31"/>
      <c r="C154" s="31"/>
      <c r="D154" s="31"/>
      <c r="E154" s="31"/>
      <c r="F154" s="31"/>
      <c r="G154" s="31"/>
      <c r="H154" s="31"/>
      <c r="I154" s="31"/>
    </row>
    <row r="155" spans="2:9" x14ac:dyDescent="0.3">
      <c r="B155" s="31"/>
      <c r="C155" s="31"/>
      <c r="D155" s="31"/>
      <c r="E155" s="31"/>
      <c r="F155" s="31"/>
      <c r="G155" s="31"/>
      <c r="H155" s="31"/>
      <c r="I155" s="31"/>
    </row>
    <row r="156" spans="2:9" x14ac:dyDescent="0.3">
      <c r="B156" s="31"/>
      <c r="C156" s="31"/>
      <c r="D156" s="31"/>
      <c r="E156" s="31"/>
      <c r="F156" s="31"/>
      <c r="G156" s="31"/>
      <c r="H156" s="31"/>
      <c r="I156" s="31"/>
    </row>
    <row r="157" spans="2:9" x14ac:dyDescent="0.3">
      <c r="B157" s="31"/>
      <c r="C157" s="31"/>
      <c r="D157" s="31"/>
      <c r="E157" s="31"/>
      <c r="F157" s="31"/>
      <c r="G157" s="31"/>
      <c r="H157" s="31"/>
      <c r="I157" s="31"/>
    </row>
    <row r="158" spans="2:9" x14ac:dyDescent="0.3">
      <c r="B158" s="31"/>
      <c r="C158" s="31"/>
      <c r="D158" s="31"/>
      <c r="E158" s="31"/>
      <c r="F158" s="31"/>
      <c r="G158" s="31"/>
      <c r="H158" s="31"/>
      <c r="I158" s="31"/>
    </row>
    <row r="159" spans="2:9" x14ac:dyDescent="0.3">
      <c r="B159" s="31"/>
      <c r="C159" s="31"/>
      <c r="D159" s="31"/>
      <c r="E159" s="31"/>
      <c r="F159" s="31"/>
      <c r="G159" s="31"/>
      <c r="H159" s="31"/>
      <c r="I159" s="31"/>
    </row>
    <row r="160" spans="2:9" x14ac:dyDescent="0.3">
      <c r="B160" s="31"/>
      <c r="C160" s="31"/>
      <c r="D160" s="31"/>
      <c r="E160" s="31"/>
      <c r="F160" s="31"/>
      <c r="G160" s="31"/>
      <c r="H160" s="31"/>
      <c r="I160" s="31"/>
    </row>
    <row r="161" spans="2:9" x14ac:dyDescent="0.3">
      <c r="B161" s="31"/>
      <c r="C161" s="31"/>
      <c r="D161" s="31"/>
      <c r="E161" s="31"/>
      <c r="F161" s="31"/>
      <c r="G161" s="31"/>
      <c r="H161" s="31"/>
      <c r="I161" s="31"/>
    </row>
    <row r="162" spans="2:9" x14ac:dyDescent="0.3">
      <c r="B162" s="31"/>
      <c r="C162" s="31"/>
      <c r="D162" s="31"/>
      <c r="E162" s="31"/>
      <c r="F162" s="31"/>
      <c r="G162" s="31"/>
      <c r="H162" s="31"/>
      <c r="I162" s="31"/>
    </row>
    <row r="163" spans="2:9" x14ac:dyDescent="0.3">
      <c r="B163" s="31"/>
      <c r="C163" s="31"/>
      <c r="D163" s="31"/>
      <c r="E163" s="31"/>
      <c r="F163" s="31"/>
      <c r="G163" s="31"/>
      <c r="H163" s="31"/>
      <c r="I163" s="31"/>
    </row>
    <row r="164" spans="2:9" x14ac:dyDescent="0.3">
      <c r="B164" s="31"/>
      <c r="C164" s="31"/>
      <c r="D164" s="31"/>
      <c r="E164" s="31"/>
      <c r="F164" s="31"/>
      <c r="G164" s="31"/>
      <c r="H164" s="31"/>
      <c r="I164" s="31"/>
    </row>
    <row r="165" spans="2:9" x14ac:dyDescent="0.3">
      <c r="B165" s="31"/>
      <c r="C165" s="31"/>
      <c r="D165" s="31"/>
      <c r="E165" s="31"/>
      <c r="F165" s="31"/>
      <c r="G165" s="31"/>
      <c r="H165" s="31"/>
      <c r="I165" s="31"/>
    </row>
    <row r="166" spans="2:9" x14ac:dyDescent="0.3">
      <c r="B166" s="31"/>
      <c r="C166" s="31"/>
      <c r="D166" s="31"/>
      <c r="E166" s="31"/>
      <c r="F166" s="31"/>
      <c r="G166" s="31"/>
      <c r="H166" s="31"/>
      <c r="I166" s="31"/>
    </row>
    <row r="167" spans="2:9" x14ac:dyDescent="0.3">
      <c r="B167" s="31"/>
      <c r="C167" s="31"/>
      <c r="D167" s="31"/>
      <c r="E167" s="31"/>
      <c r="F167" s="31"/>
      <c r="G167" s="31"/>
      <c r="H167" s="31"/>
      <c r="I167" s="31"/>
    </row>
    <row r="168" spans="2:9" x14ac:dyDescent="0.3">
      <c r="B168" s="31"/>
      <c r="C168" s="31"/>
      <c r="D168" s="31"/>
      <c r="E168" s="31"/>
      <c r="F168" s="31"/>
      <c r="G168" s="31"/>
      <c r="H168" s="31"/>
      <c r="I168" s="31"/>
    </row>
    <row r="169" spans="2:9" x14ac:dyDescent="0.3">
      <c r="B169" s="31"/>
      <c r="C169" s="31"/>
      <c r="D169" s="31"/>
      <c r="E169" s="31"/>
      <c r="F169" s="31"/>
      <c r="G169" s="31"/>
      <c r="H169" s="31"/>
      <c r="I169" s="31"/>
    </row>
    <row r="170" spans="2:9" x14ac:dyDescent="0.3">
      <c r="B170" s="31"/>
      <c r="C170" s="31"/>
      <c r="D170" s="31"/>
      <c r="E170" s="31"/>
      <c r="F170" s="31"/>
      <c r="G170" s="31"/>
      <c r="H170" s="31"/>
      <c r="I170" s="31"/>
    </row>
    <row r="171" spans="2:9" x14ac:dyDescent="0.3">
      <c r="B171" s="31"/>
      <c r="C171" s="31"/>
      <c r="D171" s="31"/>
      <c r="E171" s="31"/>
      <c r="F171" s="31"/>
      <c r="G171" s="31"/>
      <c r="H171" s="31"/>
      <c r="I171" s="31"/>
    </row>
    <row r="172" spans="2:9" x14ac:dyDescent="0.3">
      <c r="B172" s="31"/>
      <c r="C172" s="31"/>
      <c r="D172" s="31"/>
      <c r="E172" s="31"/>
      <c r="F172" s="31"/>
      <c r="G172" s="31"/>
      <c r="H172" s="31"/>
      <c r="I172" s="31"/>
    </row>
    <row r="173" spans="2:9" x14ac:dyDescent="0.3">
      <c r="B173" s="31"/>
      <c r="C173" s="31"/>
      <c r="D173" s="31"/>
      <c r="E173" s="31"/>
      <c r="F173" s="31"/>
      <c r="G173" s="31"/>
      <c r="H173" s="31"/>
      <c r="I173" s="31"/>
    </row>
    <row r="174" spans="2:9" x14ac:dyDescent="0.3">
      <c r="B174" s="31"/>
      <c r="C174" s="31"/>
      <c r="D174" s="31"/>
      <c r="E174" s="31"/>
      <c r="F174" s="31"/>
      <c r="G174" s="31"/>
      <c r="H174" s="31"/>
      <c r="I174" s="31"/>
    </row>
    <row r="175" spans="2:9" x14ac:dyDescent="0.3">
      <c r="B175" s="31"/>
      <c r="C175" s="31"/>
      <c r="D175" s="31"/>
      <c r="E175" s="31"/>
      <c r="F175" s="31"/>
      <c r="G175" s="31"/>
      <c r="H175" s="31"/>
      <c r="I175" s="31"/>
    </row>
    <row r="176" spans="2:9" x14ac:dyDescent="0.3">
      <c r="B176" s="31"/>
      <c r="C176" s="31"/>
      <c r="D176" s="31"/>
      <c r="E176" s="31"/>
      <c r="F176" s="31"/>
      <c r="G176" s="31"/>
      <c r="H176" s="31"/>
      <c r="I176" s="31"/>
    </row>
    <row r="177" spans="2:9" x14ac:dyDescent="0.3">
      <c r="B177" s="31"/>
      <c r="C177" s="31"/>
      <c r="D177" s="31"/>
      <c r="E177" s="31"/>
      <c r="F177" s="31"/>
      <c r="G177" s="31"/>
      <c r="H177" s="31"/>
      <c r="I177" s="31"/>
    </row>
    <row r="178" spans="2:9" x14ac:dyDescent="0.3">
      <c r="B178" s="31"/>
      <c r="C178" s="31"/>
      <c r="D178" s="31"/>
      <c r="E178" s="31"/>
      <c r="F178" s="31"/>
      <c r="G178" s="31"/>
      <c r="H178" s="31"/>
      <c r="I178" s="31"/>
    </row>
    <row r="179" spans="2:9" x14ac:dyDescent="0.3">
      <c r="B179" s="31"/>
      <c r="C179" s="31"/>
      <c r="D179" s="31"/>
      <c r="E179" s="31"/>
      <c r="F179" s="31"/>
      <c r="G179" s="31"/>
      <c r="H179" s="31"/>
      <c r="I179" s="31"/>
    </row>
    <row r="180" spans="2:9" x14ac:dyDescent="0.3">
      <c r="B180" s="31"/>
      <c r="C180" s="31"/>
      <c r="D180" s="31"/>
      <c r="E180" s="31"/>
      <c r="F180" s="31"/>
      <c r="G180" s="31"/>
      <c r="H180" s="31"/>
      <c r="I180" s="31"/>
    </row>
    <row r="181" spans="2:9" x14ac:dyDescent="0.3">
      <c r="B181" s="31"/>
      <c r="C181" s="31"/>
      <c r="D181" s="31"/>
      <c r="E181" s="31"/>
      <c r="F181" s="31"/>
      <c r="G181" s="31"/>
      <c r="H181" s="31"/>
      <c r="I181" s="31"/>
    </row>
    <row r="182" spans="2:9" x14ac:dyDescent="0.3">
      <c r="B182" s="31"/>
      <c r="C182" s="31"/>
      <c r="D182" s="31"/>
      <c r="E182" s="31"/>
      <c r="F182" s="31"/>
      <c r="G182" s="31"/>
      <c r="H182" s="31"/>
      <c r="I182" s="31"/>
    </row>
    <row r="183" spans="2:9" x14ac:dyDescent="0.3">
      <c r="B183" s="31"/>
      <c r="C183" s="31"/>
      <c r="D183" s="31"/>
      <c r="E183" s="31"/>
      <c r="F183" s="31"/>
      <c r="G183" s="31"/>
      <c r="H183" s="31"/>
      <c r="I183" s="31"/>
    </row>
    <row r="184" spans="2:9" x14ac:dyDescent="0.3">
      <c r="B184" s="31"/>
      <c r="C184" s="31"/>
      <c r="D184" s="31"/>
      <c r="E184" s="31"/>
      <c r="F184" s="31"/>
      <c r="G184" s="31"/>
      <c r="H184" s="31"/>
      <c r="I184" s="31"/>
    </row>
    <row r="185" spans="2:9" x14ac:dyDescent="0.3">
      <c r="B185" s="31"/>
      <c r="C185" s="31"/>
      <c r="D185" s="31"/>
      <c r="E185" s="31"/>
      <c r="F185" s="31"/>
      <c r="G185" s="31"/>
      <c r="H185" s="31"/>
      <c r="I185" s="31"/>
    </row>
    <row r="186" spans="2:9" x14ac:dyDescent="0.3">
      <c r="B186" s="31"/>
      <c r="C186" s="31"/>
      <c r="D186" s="31"/>
      <c r="E186" s="31"/>
      <c r="F186" s="31"/>
      <c r="G186" s="31"/>
      <c r="H186" s="31"/>
      <c r="I186" s="31"/>
    </row>
    <row r="187" spans="2:9" x14ac:dyDescent="0.3">
      <c r="B187" s="31"/>
      <c r="C187" s="31"/>
      <c r="D187" s="31"/>
      <c r="E187" s="31"/>
      <c r="F187" s="31"/>
      <c r="G187" s="31"/>
      <c r="H187" s="31"/>
      <c r="I187" s="31"/>
    </row>
    <row r="188" spans="2:9" x14ac:dyDescent="0.3">
      <c r="B188" s="31"/>
      <c r="C188" s="31"/>
      <c r="D188" s="31"/>
      <c r="E188" s="31"/>
      <c r="F188" s="31"/>
      <c r="G188" s="31"/>
      <c r="H188" s="31"/>
      <c r="I188" s="31"/>
    </row>
    <row r="189" spans="2:9" x14ac:dyDescent="0.3">
      <c r="B189" s="31"/>
      <c r="C189" s="31"/>
      <c r="D189" s="31"/>
      <c r="E189" s="31"/>
      <c r="F189" s="31"/>
      <c r="G189" s="31"/>
      <c r="H189" s="31"/>
      <c r="I189" s="31"/>
    </row>
    <row r="190" spans="2:9" x14ac:dyDescent="0.3">
      <c r="B190" s="31"/>
      <c r="C190" s="31"/>
      <c r="D190" s="31"/>
      <c r="E190" s="31"/>
      <c r="F190" s="31"/>
      <c r="G190" s="31"/>
      <c r="H190" s="31"/>
      <c r="I190" s="31"/>
    </row>
    <row r="191" spans="2:9" x14ac:dyDescent="0.3">
      <c r="B191" s="31"/>
      <c r="C191" s="31"/>
      <c r="D191" s="31"/>
      <c r="E191" s="31"/>
      <c r="F191" s="31"/>
      <c r="G191" s="31"/>
      <c r="H191" s="31"/>
      <c r="I191" s="31"/>
    </row>
    <row r="192" spans="2:9" x14ac:dyDescent="0.3">
      <c r="B192" s="31"/>
      <c r="C192" s="31"/>
      <c r="D192" s="31"/>
      <c r="E192" s="31"/>
      <c r="F192" s="31"/>
      <c r="G192" s="31"/>
      <c r="H192" s="31"/>
      <c r="I192" s="31"/>
    </row>
    <row r="193" spans="2:9" x14ac:dyDescent="0.3">
      <c r="B193" s="31"/>
      <c r="C193" s="31"/>
      <c r="D193" s="31"/>
      <c r="E193" s="31"/>
      <c r="F193" s="31"/>
      <c r="G193" s="31"/>
      <c r="H193" s="31"/>
      <c r="I193" s="31"/>
    </row>
    <row r="194" spans="2:9" x14ac:dyDescent="0.3">
      <c r="B194" s="31"/>
      <c r="C194" s="31"/>
      <c r="D194" s="31"/>
      <c r="E194" s="31"/>
      <c r="F194" s="31"/>
      <c r="G194" s="31"/>
      <c r="H194" s="31"/>
      <c r="I194" s="31"/>
    </row>
    <row r="195" spans="2:9" x14ac:dyDescent="0.3">
      <c r="B195" s="31"/>
      <c r="C195" s="31"/>
      <c r="D195" s="31"/>
      <c r="E195" s="31"/>
      <c r="F195" s="31"/>
      <c r="G195" s="31"/>
      <c r="H195" s="31"/>
      <c r="I195" s="31"/>
    </row>
    <row r="196" spans="2:9" x14ac:dyDescent="0.3">
      <c r="B196" s="31"/>
      <c r="C196" s="31"/>
      <c r="D196" s="31"/>
      <c r="E196" s="31"/>
      <c r="F196" s="31"/>
      <c r="G196" s="31"/>
      <c r="H196" s="31"/>
      <c r="I196" s="31"/>
    </row>
    <row r="197" spans="2:9" x14ac:dyDescent="0.3">
      <c r="B197" s="31"/>
      <c r="C197" s="31"/>
      <c r="D197" s="31"/>
      <c r="E197" s="31"/>
      <c r="F197" s="31"/>
      <c r="G197" s="31"/>
      <c r="H197" s="31"/>
      <c r="I197" s="31"/>
    </row>
    <row r="198" spans="2:9" x14ac:dyDescent="0.3">
      <c r="B198" s="31"/>
      <c r="C198" s="31"/>
      <c r="D198" s="31"/>
      <c r="E198" s="31"/>
      <c r="F198" s="31"/>
      <c r="G198" s="31"/>
      <c r="H198" s="31"/>
      <c r="I198" s="31"/>
    </row>
    <row r="199" spans="2:9" x14ac:dyDescent="0.3">
      <c r="B199" s="31"/>
      <c r="C199" s="31"/>
      <c r="D199" s="31"/>
      <c r="E199" s="31"/>
      <c r="F199" s="31"/>
      <c r="G199" s="31"/>
      <c r="H199" s="31"/>
      <c r="I199" s="31"/>
    </row>
    <row r="200" spans="2:9" x14ac:dyDescent="0.3">
      <c r="B200" s="31"/>
      <c r="C200" s="31"/>
      <c r="D200" s="31"/>
      <c r="E200" s="31"/>
      <c r="F200" s="31"/>
      <c r="G200" s="31"/>
      <c r="H200" s="31"/>
      <c r="I200" s="31"/>
    </row>
    <row r="201" spans="2:9" x14ac:dyDescent="0.3">
      <c r="B201" s="31"/>
      <c r="C201" s="31"/>
      <c r="D201" s="31"/>
      <c r="E201" s="31"/>
      <c r="F201" s="31"/>
      <c r="G201" s="31"/>
      <c r="H201" s="31"/>
      <c r="I201" s="31"/>
    </row>
    <row r="202" spans="2:9" x14ac:dyDescent="0.3">
      <c r="B202" s="31"/>
      <c r="C202" s="31"/>
      <c r="D202" s="31"/>
      <c r="E202" s="31"/>
      <c r="F202" s="31"/>
      <c r="G202" s="31"/>
      <c r="H202" s="31"/>
      <c r="I202" s="31"/>
    </row>
    <row r="203" spans="2:9" x14ac:dyDescent="0.3">
      <c r="B203" s="31"/>
      <c r="C203" s="31"/>
      <c r="D203" s="31"/>
      <c r="E203" s="31"/>
      <c r="F203" s="31"/>
      <c r="G203" s="31"/>
      <c r="H203" s="31"/>
      <c r="I203" s="31"/>
    </row>
    <row r="204" spans="2:9" x14ac:dyDescent="0.3">
      <c r="B204" s="31"/>
      <c r="C204" s="31"/>
      <c r="D204" s="31"/>
      <c r="E204" s="31"/>
      <c r="F204" s="31"/>
      <c r="G204" s="31"/>
      <c r="H204" s="31"/>
      <c r="I204" s="31"/>
    </row>
    <row r="205" spans="2:9" x14ac:dyDescent="0.3">
      <c r="B205" s="31"/>
      <c r="C205" s="31"/>
      <c r="D205" s="31"/>
      <c r="E205" s="31"/>
      <c r="F205" s="31"/>
      <c r="G205" s="31"/>
      <c r="H205" s="31"/>
      <c r="I205" s="31"/>
    </row>
    <row r="206" spans="2:9" x14ac:dyDescent="0.3">
      <c r="B206" s="31"/>
      <c r="C206" s="31"/>
      <c r="D206" s="31"/>
      <c r="E206" s="31"/>
      <c r="F206" s="31"/>
      <c r="G206" s="31"/>
      <c r="H206" s="31"/>
      <c r="I206" s="31"/>
    </row>
    <row r="207" spans="2:9" x14ac:dyDescent="0.3">
      <c r="B207" s="31"/>
      <c r="C207" s="31"/>
      <c r="D207" s="31"/>
      <c r="E207" s="31"/>
      <c r="F207" s="31"/>
      <c r="G207" s="31"/>
      <c r="H207" s="31"/>
      <c r="I207" s="31"/>
    </row>
    <row r="208" spans="2:9" x14ac:dyDescent="0.3">
      <c r="B208" s="31"/>
      <c r="C208" s="31"/>
      <c r="D208" s="31"/>
      <c r="E208" s="31"/>
      <c r="F208" s="31"/>
      <c r="G208" s="31"/>
      <c r="H208" s="31"/>
      <c r="I208" s="31"/>
    </row>
    <row r="209" spans="2:9" x14ac:dyDescent="0.3">
      <c r="B209" s="31"/>
      <c r="C209" s="31"/>
      <c r="D209" s="31"/>
      <c r="E209" s="31"/>
      <c r="F209" s="31"/>
      <c r="G209" s="31"/>
      <c r="H209" s="31"/>
      <c r="I209" s="31"/>
    </row>
    <row r="210" spans="2:9" x14ac:dyDescent="0.3">
      <c r="B210" s="31"/>
      <c r="C210" s="31"/>
      <c r="D210" s="31"/>
      <c r="E210" s="31"/>
      <c r="F210" s="31"/>
      <c r="G210" s="31"/>
      <c r="H210" s="31"/>
      <c r="I210" s="31"/>
    </row>
    <row r="211" spans="2:9" x14ac:dyDescent="0.3">
      <c r="B211" s="31"/>
      <c r="C211" s="31"/>
      <c r="D211" s="31"/>
      <c r="E211" s="31"/>
      <c r="F211" s="31"/>
      <c r="G211" s="31"/>
      <c r="H211" s="31"/>
      <c r="I211" s="31"/>
    </row>
    <row r="212" spans="2:9" x14ac:dyDescent="0.3">
      <c r="B212" s="31"/>
      <c r="C212" s="31"/>
      <c r="D212" s="31"/>
      <c r="E212" s="31"/>
      <c r="F212" s="31"/>
      <c r="G212" s="31"/>
      <c r="H212" s="31"/>
      <c r="I212" s="31"/>
    </row>
    <row r="213" spans="2:9" x14ac:dyDescent="0.3">
      <c r="B213" s="31"/>
      <c r="C213" s="31"/>
      <c r="D213" s="31"/>
      <c r="E213" s="31"/>
      <c r="F213" s="31"/>
      <c r="G213" s="31"/>
      <c r="H213" s="31"/>
      <c r="I213" s="31"/>
    </row>
    <row r="214" spans="2:9" x14ac:dyDescent="0.3">
      <c r="B214" s="31"/>
      <c r="C214" s="31"/>
      <c r="D214" s="31"/>
      <c r="E214" s="31"/>
      <c r="F214" s="31"/>
      <c r="G214" s="31"/>
      <c r="H214" s="31"/>
      <c r="I214" s="31"/>
    </row>
    <row r="215" spans="2:9" x14ac:dyDescent="0.3">
      <c r="B215" s="31"/>
      <c r="C215" s="31"/>
      <c r="D215" s="31"/>
      <c r="E215" s="31"/>
      <c r="F215" s="31"/>
      <c r="G215" s="31"/>
      <c r="H215" s="31"/>
      <c r="I215" s="31"/>
    </row>
    <row r="216" spans="2:9" x14ac:dyDescent="0.3">
      <c r="B216" s="31"/>
      <c r="C216" s="31"/>
      <c r="D216" s="31"/>
      <c r="E216" s="31"/>
      <c r="F216" s="31"/>
      <c r="G216" s="31"/>
      <c r="H216" s="31"/>
      <c r="I216" s="31"/>
    </row>
    <row r="217" spans="2:9" x14ac:dyDescent="0.3">
      <c r="B217" s="31"/>
      <c r="C217" s="31"/>
      <c r="D217" s="31"/>
      <c r="E217" s="31"/>
      <c r="F217" s="31"/>
      <c r="G217" s="31"/>
      <c r="H217" s="31"/>
      <c r="I217" s="31"/>
    </row>
    <row r="218" spans="2:9" x14ac:dyDescent="0.3">
      <c r="B218" s="31"/>
      <c r="C218" s="31"/>
      <c r="D218" s="31"/>
      <c r="E218" s="31"/>
      <c r="F218" s="31"/>
      <c r="G218" s="31"/>
      <c r="H218" s="31"/>
      <c r="I218" s="31"/>
    </row>
    <row r="219" spans="2:9" x14ac:dyDescent="0.3">
      <c r="B219" s="31"/>
      <c r="C219" s="31"/>
      <c r="D219" s="31"/>
      <c r="E219" s="31"/>
      <c r="F219" s="31"/>
      <c r="G219" s="31"/>
      <c r="H219" s="31"/>
      <c r="I219" s="31"/>
    </row>
    <row r="220" spans="2:9" x14ac:dyDescent="0.3">
      <c r="B220" s="31"/>
      <c r="C220" s="31"/>
      <c r="D220" s="31"/>
      <c r="E220" s="31"/>
      <c r="F220" s="31"/>
      <c r="G220" s="31"/>
      <c r="H220" s="31"/>
      <c r="I220" s="31"/>
    </row>
    <row r="221" spans="2:9" x14ac:dyDescent="0.3">
      <c r="B221" s="31"/>
      <c r="C221" s="31"/>
      <c r="D221" s="31"/>
      <c r="E221" s="31"/>
      <c r="F221" s="31"/>
      <c r="G221" s="31"/>
      <c r="H221" s="31"/>
      <c r="I221" s="31"/>
    </row>
    <row r="222" spans="2:9" x14ac:dyDescent="0.3">
      <c r="B222" s="31"/>
      <c r="C222" s="31"/>
      <c r="D222" s="31"/>
      <c r="E222" s="31"/>
      <c r="F222" s="31"/>
      <c r="G222" s="31"/>
      <c r="H222" s="31"/>
      <c r="I222" s="31"/>
    </row>
    <row r="223" spans="2:9" x14ac:dyDescent="0.3">
      <c r="B223" s="31"/>
      <c r="C223" s="31"/>
      <c r="D223" s="31"/>
      <c r="E223" s="31"/>
      <c r="F223" s="31"/>
      <c r="G223" s="31"/>
      <c r="H223" s="31"/>
      <c r="I223" s="31"/>
    </row>
  </sheetData>
  <autoFilter ref="B9:J111"/>
  <phoneticPr fontId="0" type="noConversion"/>
  <pageMargins left="0.75" right="0.75" top="1" bottom="1" header="0.5" footer="0.5"/>
  <pageSetup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L118"/>
  <sheetViews>
    <sheetView showGridLines="0" topLeftCell="A16" workbookViewId="0">
      <selection activeCell="C12" sqref="C12"/>
    </sheetView>
  </sheetViews>
  <sheetFormatPr defaultColWidth="9" defaultRowHeight="14.25" x14ac:dyDescent="0.2"/>
  <cols>
    <col min="1" max="1" width="7.125" style="31" customWidth="1"/>
    <col min="2" max="2" width="9" style="31"/>
    <col min="3" max="3" width="17.75" style="31" customWidth="1"/>
    <col min="4" max="4" width="27.5" style="31" bestFit="1" customWidth="1"/>
    <col min="5" max="5" width="20.75" style="31" bestFit="1" customWidth="1"/>
    <col min="6" max="7" width="9" style="31"/>
    <col min="8" max="8" width="16.625" style="31" bestFit="1" customWidth="1"/>
    <col min="9" max="10" width="9" style="31"/>
    <col min="11" max="11" width="12.5" style="31" bestFit="1" customWidth="1"/>
    <col min="12" max="16384" width="9" style="31"/>
  </cols>
  <sheetData>
    <row r="2" spans="2:12" ht="15" x14ac:dyDescent="0.25">
      <c r="B2" s="34"/>
    </row>
    <row r="3" spans="2:12" ht="15" x14ac:dyDescent="0.25">
      <c r="B3" s="34" t="s">
        <v>114</v>
      </c>
    </row>
    <row r="4" spans="2:12" ht="15" x14ac:dyDescent="0.25">
      <c r="B4" s="34"/>
    </row>
    <row r="5" spans="2:12" ht="15" x14ac:dyDescent="0.25">
      <c r="B5" s="34"/>
    </row>
    <row r="6" spans="2:12" ht="15" x14ac:dyDescent="0.25">
      <c r="B6" s="34"/>
    </row>
    <row r="7" spans="2:12" ht="20.25" x14ac:dyDescent="0.3">
      <c r="B7" s="26" t="s">
        <v>216</v>
      </c>
    </row>
    <row r="8" spans="2:12" ht="15" x14ac:dyDescent="0.2">
      <c r="B8" s="59" t="s">
        <v>133</v>
      </c>
    </row>
    <row r="10" spans="2:12" ht="16.5" thickBot="1" x14ac:dyDescent="0.3">
      <c r="C10" s="37" t="s">
        <v>217</v>
      </c>
    </row>
    <row r="11" spans="2:12" ht="15.75" thickBot="1" x14ac:dyDescent="0.3">
      <c r="C11" s="62" t="s">
        <v>48</v>
      </c>
      <c r="D11" s="63" t="s">
        <v>52</v>
      </c>
      <c r="E11" s="64" t="s">
        <v>49</v>
      </c>
      <c r="K11" s="39"/>
      <c r="L11" s="39"/>
    </row>
    <row r="12" spans="2:12" x14ac:dyDescent="0.2">
      <c r="C12" s="40" t="s">
        <v>53</v>
      </c>
      <c r="D12" s="98" t="s">
        <v>192</v>
      </c>
      <c r="E12" s="42">
        <v>200</v>
      </c>
      <c r="K12" s="39"/>
      <c r="L12" s="39"/>
    </row>
    <row r="13" spans="2:12" x14ac:dyDescent="0.2">
      <c r="C13" s="43" t="s">
        <v>54</v>
      </c>
      <c r="D13" s="99" t="s">
        <v>193</v>
      </c>
      <c r="E13" s="45">
        <v>150</v>
      </c>
      <c r="K13" s="39"/>
      <c r="L13" s="39"/>
    </row>
    <row r="14" spans="2:12" ht="15" thickBot="1" x14ac:dyDescent="0.25">
      <c r="C14" s="46" t="s">
        <v>55</v>
      </c>
      <c r="D14" s="100" t="s">
        <v>194</v>
      </c>
      <c r="E14" s="48">
        <v>95</v>
      </c>
    </row>
    <row r="17" spans="3:5" ht="16.5" thickBot="1" x14ac:dyDescent="0.3">
      <c r="C17" s="37" t="s">
        <v>80</v>
      </c>
    </row>
    <row r="18" spans="3:5" ht="15.75" thickBot="1" x14ac:dyDescent="0.3">
      <c r="C18" s="62" t="s">
        <v>50</v>
      </c>
      <c r="D18" s="63" t="s">
        <v>51</v>
      </c>
    </row>
    <row r="19" spans="3:5" x14ac:dyDescent="0.2">
      <c r="C19" s="40" t="s">
        <v>74</v>
      </c>
      <c r="D19" s="49" t="s">
        <v>62</v>
      </c>
    </row>
    <row r="20" spans="3:5" x14ac:dyDescent="0.2">
      <c r="C20" s="43" t="s">
        <v>76</v>
      </c>
      <c r="D20" s="50" t="s">
        <v>64</v>
      </c>
    </row>
    <row r="21" spans="3:5" x14ac:dyDescent="0.2">
      <c r="C21" s="43" t="s">
        <v>75</v>
      </c>
      <c r="D21" s="50" t="s">
        <v>65</v>
      </c>
    </row>
    <row r="22" spans="3:5" x14ac:dyDescent="0.2">
      <c r="C22" s="43" t="s">
        <v>67</v>
      </c>
      <c r="D22" s="50" t="s">
        <v>57</v>
      </c>
    </row>
    <row r="23" spans="3:5" x14ac:dyDescent="0.2">
      <c r="C23" s="43" t="s">
        <v>68</v>
      </c>
      <c r="D23" s="50" t="s">
        <v>56</v>
      </c>
    </row>
    <row r="24" spans="3:5" x14ac:dyDescent="0.2">
      <c r="C24" s="43" t="s">
        <v>69</v>
      </c>
      <c r="D24" s="50" t="s">
        <v>58</v>
      </c>
    </row>
    <row r="25" spans="3:5" x14ac:dyDescent="0.2">
      <c r="C25" s="43" t="s">
        <v>70</v>
      </c>
      <c r="D25" s="50" t="s">
        <v>59</v>
      </c>
    </row>
    <row r="26" spans="3:5" x14ac:dyDescent="0.2">
      <c r="C26" s="43" t="s">
        <v>71</v>
      </c>
      <c r="D26" s="50" t="s">
        <v>60</v>
      </c>
    </row>
    <row r="27" spans="3:5" x14ac:dyDescent="0.2">
      <c r="C27" s="43" t="s">
        <v>72</v>
      </c>
      <c r="D27" s="50" t="s">
        <v>61</v>
      </c>
    </row>
    <row r="28" spans="3:5" ht="15" thickBot="1" x14ac:dyDescent="0.25">
      <c r="C28" s="46" t="s">
        <v>73</v>
      </c>
      <c r="D28" s="51" t="s">
        <v>63</v>
      </c>
    </row>
    <row r="29" spans="3:5" x14ac:dyDescent="0.2">
      <c r="C29" s="44"/>
      <c r="D29" s="52"/>
    </row>
    <row r="31" spans="3:5" ht="16.5" thickBot="1" x14ac:dyDescent="0.3">
      <c r="C31" s="37" t="s">
        <v>81</v>
      </c>
    </row>
    <row r="32" spans="3:5" ht="15.75" thickBot="1" x14ac:dyDescent="0.3">
      <c r="C32" s="62" t="s">
        <v>5</v>
      </c>
      <c r="D32" s="63" t="s">
        <v>6</v>
      </c>
      <c r="E32" s="119" t="s">
        <v>7</v>
      </c>
    </row>
    <row r="33" spans="3:5" x14ac:dyDescent="0.2">
      <c r="C33" s="53">
        <v>1</v>
      </c>
      <c r="D33" s="41" t="s">
        <v>8</v>
      </c>
      <c r="E33" s="118" t="s">
        <v>192</v>
      </c>
    </row>
    <row r="34" spans="3:5" x14ac:dyDescent="0.2">
      <c r="C34" s="54">
        <v>2</v>
      </c>
      <c r="D34" s="44" t="s">
        <v>9</v>
      </c>
      <c r="E34" s="118" t="s">
        <v>193</v>
      </c>
    </row>
    <row r="35" spans="3:5" x14ac:dyDescent="0.2">
      <c r="C35" s="54">
        <v>3</v>
      </c>
      <c r="D35" s="44" t="s">
        <v>10</v>
      </c>
      <c r="E35" s="118" t="s">
        <v>194</v>
      </c>
    </row>
    <row r="36" spans="3:5" x14ac:dyDescent="0.2">
      <c r="C36" s="54">
        <v>4</v>
      </c>
      <c r="D36" s="44" t="s">
        <v>11</v>
      </c>
      <c r="E36" s="118" t="s">
        <v>192</v>
      </c>
    </row>
    <row r="37" spans="3:5" x14ac:dyDescent="0.2">
      <c r="C37" s="54">
        <v>5</v>
      </c>
      <c r="D37" s="44" t="s">
        <v>12</v>
      </c>
      <c r="E37" s="118" t="s">
        <v>193</v>
      </c>
    </row>
    <row r="38" spans="3:5" x14ac:dyDescent="0.2">
      <c r="C38" s="54">
        <v>6</v>
      </c>
      <c r="D38" s="44" t="s">
        <v>13</v>
      </c>
      <c r="E38" s="118" t="s">
        <v>194</v>
      </c>
    </row>
    <row r="39" spans="3:5" x14ac:dyDescent="0.2">
      <c r="C39" s="54">
        <v>7</v>
      </c>
      <c r="D39" s="44" t="s">
        <v>14</v>
      </c>
      <c r="E39" s="118" t="s">
        <v>192</v>
      </c>
    </row>
    <row r="40" spans="3:5" x14ac:dyDescent="0.2">
      <c r="C40" s="54">
        <v>8</v>
      </c>
      <c r="D40" s="44" t="s">
        <v>15</v>
      </c>
      <c r="E40" s="118" t="s">
        <v>193</v>
      </c>
    </row>
    <row r="41" spans="3:5" x14ac:dyDescent="0.2">
      <c r="C41" s="54">
        <v>9</v>
      </c>
      <c r="D41" s="44" t="s">
        <v>16</v>
      </c>
      <c r="E41" s="118" t="s">
        <v>194</v>
      </c>
    </row>
    <row r="42" spans="3:5" x14ac:dyDescent="0.2">
      <c r="C42" s="54">
        <v>10</v>
      </c>
      <c r="D42" s="44" t="s">
        <v>17</v>
      </c>
      <c r="E42" s="118" t="s">
        <v>192</v>
      </c>
    </row>
    <row r="43" spans="3:5" x14ac:dyDescent="0.2">
      <c r="C43" s="54">
        <v>11</v>
      </c>
      <c r="D43" s="44" t="s">
        <v>18</v>
      </c>
      <c r="E43" s="118" t="s">
        <v>193</v>
      </c>
    </row>
    <row r="44" spans="3:5" x14ac:dyDescent="0.2">
      <c r="C44" s="54">
        <v>12</v>
      </c>
      <c r="D44" s="44" t="s">
        <v>19</v>
      </c>
      <c r="E44" s="118" t="s">
        <v>194</v>
      </c>
    </row>
    <row r="45" spans="3:5" x14ac:dyDescent="0.2">
      <c r="C45" s="54">
        <v>13</v>
      </c>
      <c r="D45" s="44" t="s">
        <v>20</v>
      </c>
      <c r="E45" s="118" t="s">
        <v>192</v>
      </c>
    </row>
    <row r="46" spans="3:5" x14ac:dyDescent="0.2">
      <c r="C46" s="54">
        <v>14</v>
      </c>
      <c r="D46" s="44" t="s">
        <v>21</v>
      </c>
      <c r="E46" s="118" t="s">
        <v>193</v>
      </c>
    </row>
    <row r="47" spans="3:5" x14ac:dyDescent="0.2">
      <c r="C47" s="54">
        <v>15</v>
      </c>
      <c r="D47" s="44" t="s">
        <v>22</v>
      </c>
      <c r="E47" s="118" t="s">
        <v>194</v>
      </c>
    </row>
    <row r="48" spans="3:5" x14ac:dyDescent="0.2">
      <c r="C48" s="54">
        <v>16</v>
      </c>
      <c r="D48" s="44" t="s">
        <v>23</v>
      </c>
      <c r="E48" s="118" t="s">
        <v>192</v>
      </c>
    </row>
    <row r="49" spans="3:5" x14ac:dyDescent="0.2">
      <c r="C49" s="54">
        <v>17</v>
      </c>
      <c r="D49" s="44" t="s">
        <v>24</v>
      </c>
      <c r="E49" s="118" t="s">
        <v>193</v>
      </c>
    </row>
    <row r="50" spans="3:5" x14ac:dyDescent="0.2">
      <c r="C50" s="54">
        <v>18</v>
      </c>
      <c r="D50" s="44" t="s">
        <v>25</v>
      </c>
      <c r="E50" s="118" t="s">
        <v>194</v>
      </c>
    </row>
    <row r="51" spans="3:5" x14ac:dyDescent="0.2">
      <c r="C51" s="54">
        <v>19</v>
      </c>
      <c r="D51" s="44" t="s">
        <v>26</v>
      </c>
      <c r="E51" s="118" t="s">
        <v>192</v>
      </c>
    </row>
    <row r="52" spans="3:5" x14ac:dyDescent="0.2">
      <c r="C52" s="54">
        <v>20</v>
      </c>
      <c r="D52" s="44" t="s">
        <v>27</v>
      </c>
      <c r="E52" s="118" t="s">
        <v>193</v>
      </c>
    </row>
    <row r="53" spans="3:5" x14ac:dyDescent="0.2">
      <c r="C53" s="54">
        <v>21</v>
      </c>
      <c r="D53" s="44" t="s">
        <v>28</v>
      </c>
      <c r="E53" s="118" t="s">
        <v>194</v>
      </c>
    </row>
    <row r="54" spans="3:5" x14ac:dyDescent="0.2">
      <c r="C54" s="54">
        <v>22</v>
      </c>
      <c r="D54" s="44" t="s">
        <v>29</v>
      </c>
      <c r="E54" s="118" t="s">
        <v>192</v>
      </c>
    </row>
    <row r="55" spans="3:5" x14ac:dyDescent="0.2">
      <c r="C55" s="54">
        <v>23</v>
      </c>
      <c r="D55" s="44" t="s">
        <v>30</v>
      </c>
      <c r="E55" s="118" t="s">
        <v>193</v>
      </c>
    </row>
    <row r="56" spans="3:5" x14ac:dyDescent="0.2">
      <c r="C56" s="54">
        <v>24</v>
      </c>
      <c r="D56" s="44" t="s">
        <v>31</v>
      </c>
      <c r="E56" s="118" t="s">
        <v>194</v>
      </c>
    </row>
    <row r="57" spans="3:5" x14ac:dyDescent="0.2">
      <c r="C57" s="54">
        <v>25</v>
      </c>
      <c r="D57" s="44" t="s">
        <v>32</v>
      </c>
      <c r="E57" s="118" t="s">
        <v>192</v>
      </c>
    </row>
    <row r="58" spans="3:5" x14ac:dyDescent="0.2">
      <c r="C58" s="54">
        <v>26</v>
      </c>
      <c r="D58" s="44" t="s">
        <v>33</v>
      </c>
      <c r="E58" s="118" t="s">
        <v>193</v>
      </c>
    </row>
    <row r="59" spans="3:5" x14ac:dyDescent="0.2">
      <c r="C59" s="54">
        <v>27</v>
      </c>
      <c r="D59" s="44" t="s">
        <v>34</v>
      </c>
      <c r="E59" s="118" t="s">
        <v>194</v>
      </c>
    </row>
    <row r="60" spans="3:5" x14ac:dyDescent="0.2">
      <c r="C60" s="54">
        <v>28</v>
      </c>
      <c r="D60" s="44" t="s">
        <v>35</v>
      </c>
      <c r="E60" s="118" t="s">
        <v>192</v>
      </c>
    </row>
    <row r="61" spans="3:5" x14ac:dyDescent="0.2">
      <c r="C61" s="54">
        <v>29</v>
      </c>
      <c r="D61" s="44" t="s">
        <v>36</v>
      </c>
      <c r="E61" s="118" t="s">
        <v>193</v>
      </c>
    </row>
    <row r="62" spans="3:5" x14ac:dyDescent="0.2">
      <c r="C62" s="54">
        <v>30</v>
      </c>
      <c r="D62" s="44" t="s">
        <v>37</v>
      </c>
      <c r="E62" s="118" t="s">
        <v>194</v>
      </c>
    </row>
    <row r="63" spans="3:5" x14ac:dyDescent="0.2">
      <c r="C63" s="54">
        <v>31</v>
      </c>
      <c r="D63" s="44" t="s">
        <v>38</v>
      </c>
      <c r="E63" s="118" t="s">
        <v>192</v>
      </c>
    </row>
    <row r="64" spans="3:5" x14ac:dyDescent="0.2">
      <c r="C64" s="54">
        <v>32</v>
      </c>
      <c r="D64" s="44" t="s">
        <v>39</v>
      </c>
      <c r="E64" s="118" t="s">
        <v>193</v>
      </c>
    </row>
    <row r="65" spans="3:8" x14ac:dyDescent="0.2">
      <c r="C65" s="54">
        <v>33</v>
      </c>
      <c r="D65" s="44" t="s">
        <v>40</v>
      </c>
      <c r="E65" s="118" t="s">
        <v>194</v>
      </c>
    </row>
    <row r="66" spans="3:8" x14ac:dyDescent="0.2">
      <c r="C66" s="54">
        <v>34</v>
      </c>
      <c r="D66" s="44" t="s">
        <v>41</v>
      </c>
      <c r="E66" s="118" t="s">
        <v>192</v>
      </c>
    </row>
    <row r="67" spans="3:8" x14ac:dyDescent="0.2">
      <c r="C67" s="54">
        <v>35</v>
      </c>
      <c r="D67" s="44" t="s">
        <v>42</v>
      </c>
      <c r="E67" s="118" t="s">
        <v>193</v>
      </c>
    </row>
    <row r="68" spans="3:8" x14ac:dyDescent="0.2">
      <c r="C68" s="54">
        <v>36</v>
      </c>
      <c r="D68" s="44" t="s">
        <v>43</v>
      </c>
      <c r="E68" s="118" t="s">
        <v>194</v>
      </c>
    </row>
    <row r="69" spans="3:8" x14ac:dyDescent="0.2">
      <c r="C69" s="54">
        <v>37</v>
      </c>
      <c r="D69" s="44" t="s">
        <v>44</v>
      </c>
      <c r="E69" s="118" t="s">
        <v>192</v>
      </c>
    </row>
    <row r="70" spans="3:8" x14ac:dyDescent="0.2">
      <c r="C70" s="54">
        <v>38</v>
      </c>
      <c r="D70" s="44" t="s">
        <v>45</v>
      </c>
      <c r="E70" s="118" t="s">
        <v>193</v>
      </c>
    </row>
    <row r="71" spans="3:8" x14ac:dyDescent="0.2">
      <c r="C71" s="54">
        <v>39</v>
      </c>
      <c r="D71" s="44" t="s">
        <v>46</v>
      </c>
      <c r="E71" s="118" t="s">
        <v>194</v>
      </c>
    </row>
    <row r="72" spans="3:8" ht="15" thickBot="1" x14ac:dyDescent="0.25">
      <c r="C72" s="55">
        <v>40</v>
      </c>
      <c r="D72" s="47" t="s">
        <v>47</v>
      </c>
      <c r="E72" s="120" t="s">
        <v>192</v>
      </c>
    </row>
    <row r="78" spans="3:8" ht="15" thickBot="1" x14ac:dyDescent="0.25"/>
    <row r="79" spans="3:8" x14ac:dyDescent="0.2">
      <c r="H79" s="41"/>
    </row>
    <row r="80" spans="3:8" x14ac:dyDescent="0.2">
      <c r="H80" s="44"/>
    </row>
    <row r="81" spans="8:8" x14ac:dyDescent="0.2">
      <c r="H81" s="44"/>
    </row>
    <row r="82" spans="8:8" x14ac:dyDescent="0.2">
      <c r="H82" s="44"/>
    </row>
    <row r="83" spans="8:8" x14ac:dyDescent="0.2">
      <c r="H83" s="44"/>
    </row>
    <row r="84" spans="8:8" x14ac:dyDescent="0.2">
      <c r="H84" s="44"/>
    </row>
    <row r="85" spans="8:8" x14ac:dyDescent="0.2">
      <c r="H85" s="44"/>
    </row>
    <row r="86" spans="8:8" x14ac:dyDescent="0.2">
      <c r="H86" s="44"/>
    </row>
    <row r="87" spans="8:8" x14ac:dyDescent="0.2">
      <c r="H87" s="44"/>
    </row>
    <row r="88" spans="8:8" x14ac:dyDescent="0.2">
      <c r="H88" s="44"/>
    </row>
    <row r="89" spans="8:8" x14ac:dyDescent="0.2">
      <c r="H89" s="44"/>
    </row>
    <row r="90" spans="8:8" x14ac:dyDescent="0.2">
      <c r="H90" s="44"/>
    </row>
    <row r="91" spans="8:8" x14ac:dyDescent="0.2">
      <c r="H91" s="44"/>
    </row>
    <row r="92" spans="8:8" x14ac:dyDescent="0.2">
      <c r="H92" s="44"/>
    </row>
    <row r="93" spans="8:8" x14ac:dyDescent="0.2">
      <c r="H93" s="44"/>
    </row>
    <row r="94" spans="8:8" x14ac:dyDescent="0.2">
      <c r="H94" s="44"/>
    </row>
    <row r="95" spans="8:8" x14ac:dyDescent="0.2">
      <c r="H95" s="44"/>
    </row>
    <row r="96" spans="8:8" x14ac:dyDescent="0.2">
      <c r="H96" s="44"/>
    </row>
    <row r="97" spans="8:8" x14ac:dyDescent="0.2">
      <c r="H97" s="44"/>
    </row>
    <row r="98" spans="8:8" x14ac:dyDescent="0.2">
      <c r="H98" s="44"/>
    </row>
    <row r="99" spans="8:8" x14ac:dyDescent="0.2">
      <c r="H99" s="44"/>
    </row>
    <row r="100" spans="8:8" x14ac:dyDescent="0.2">
      <c r="H100" s="44"/>
    </row>
    <row r="101" spans="8:8" x14ac:dyDescent="0.2">
      <c r="H101" s="44"/>
    </row>
    <row r="102" spans="8:8" x14ac:dyDescent="0.2">
      <c r="H102" s="44"/>
    </row>
    <row r="103" spans="8:8" x14ac:dyDescent="0.2">
      <c r="H103" s="44"/>
    </row>
    <row r="104" spans="8:8" x14ac:dyDescent="0.2">
      <c r="H104" s="44"/>
    </row>
    <row r="105" spans="8:8" x14ac:dyDescent="0.2">
      <c r="H105" s="44"/>
    </row>
    <row r="106" spans="8:8" x14ac:dyDescent="0.2">
      <c r="H106" s="44"/>
    </row>
    <row r="107" spans="8:8" x14ac:dyDescent="0.2">
      <c r="H107" s="44"/>
    </row>
    <row r="108" spans="8:8" x14ac:dyDescent="0.2">
      <c r="H108" s="44"/>
    </row>
    <row r="109" spans="8:8" x14ac:dyDescent="0.2">
      <c r="H109" s="44"/>
    </row>
    <row r="110" spans="8:8" x14ac:dyDescent="0.2">
      <c r="H110" s="44"/>
    </row>
    <row r="111" spans="8:8" x14ac:dyDescent="0.2">
      <c r="H111" s="44"/>
    </row>
    <row r="112" spans="8:8" x14ac:dyDescent="0.2">
      <c r="H112" s="44"/>
    </row>
    <row r="113" spans="8:8" x14ac:dyDescent="0.2">
      <c r="H113" s="44"/>
    </row>
    <row r="114" spans="8:8" x14ac:dyDescent="0.2">
      <c r="H114" s="44"/>
    </row>
    <row r="115" spans="8:8" x14ac:dyDescent="0.2">
      <c r="H115" s="44"/>
    </row>
    <row r="116" spans="8:8" x14ac:dyDescent="0.2">
      <c r="H116" s="44"/>
    </row>
    <row r="117" spans="8:8" x14ac:dyDescent="0.2">
      <c r="H117" s="44"/>
    </row>
    <row r="118" spans="8:8" ht="15" thickBot="1" x14ac:dyDescent="0.25">
      <c r="H118" s="47"/>
    </row>
  </sheetData>
  <autoFilter ref="C32:E72"/>
  <phoneticPr fontId="0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fitToPage="1"/>
  </sheetPr>
  <dimension ref="B2:L133"/>
  <sheetViews>
    <sheetView showGridLines="0" topLeftCell="A10" zoomScale="85" zoomScaleNormal="85" workbookViewId="0">
      <selection activeCell="H22" sqref="H22"/>
    </sheetView>
  </sheetViews>
  <sheetFormatPr defaultColWidth="9" defaultRowHeight="14.25" x14ac:dyDescent="0.2"/>
  <cols>
    <col min="1" max="1" width="7.5" style="31" customWidth="1"/>
    <col min="2" max="4" width="22.25" style="31" customWidth="1"/>
    <col min="5" max="5" width="11.625" style="31" customWidth="1"/>
    <col min="6" max="6" width="22.25" style="31" customWidth="1"/>
    <col min="7" max="7" width="10.5" style="31" customWidth="1"/>
    <col min="8" max="8" width="12.25" style="31" customWidth="1"/>
    <col min="9" max="9" width="12.5" style="31" customWidth="1"/>
    <col min="10" max="10" width="9" style="31"/>
    <col min="11" max="11" width="19.625" style="31" bestFit="1" customWidth="1"/>
    <col min="12" max="12" width="13.25" style="31" bestFit="1" customWidth="1"/>
    <col min="13" max="13" width="9" style="31"/>
    <col min="14" max="14" width="22.25" style="31" bestFit="1" customWidth="1"/>
    <col min="15" max="16384" width="9" style="31"/>
  </cols>
  <sheetData>
    <row r="2" spans="2:12" ht="15" x14ac:dyDescent="0.25">
      <c r="B2" s="34"/>
      <c r="C2" s="34"/>
      <c r="D2" s="218"/>
      <c r="E2" s="218"/>
    </row>
    <row r="3" spans="2:12" ht="15" x14ac:dyDescent="0.25">
      <c r="B3" s="34" t="s">
        <v>111</v>
      </c>
      <c r="C3" s="34"/>
      <c r="D3" s="218"/>
      <c r="E3" s="218"/>
    </row>
    <row r="4" spans="2:12" x14ac:dyDescent="0.2">
      <c r="K4"/>
    </row>
    <row r="5" spans="2:12" ht="15" thickBot="1" x14ac:dyDescent="0.25"/>
    <row r="6" spans="2:12" ht="97.5" customHeight="1" x14ac:dyDescent="0.2">
      <c r="B6" s="211" t="s">
        <v>216</v>
      </c>
      <c r="C6" s="212"/>
      <c r="D6" s="212"/>
      <c r="E6" s="213"/>
      <c r="F6" s="213"/>
      <c r="G6" s="213"/>
      <c r="H6" s="213"/>
      <c r="I6" s="214"/>
    </row>
    <row r="7" spans="2:12" ht="15.75" customHeight="1" x14ac:dyDescent="0.2">
      <c r="B7" s="215">
        <f ca="1">NOW()</f>
        <v>44324.256513194443</v>
      </c>
      <c r="C7" s="216"/>
      <c r="D7" s="216"/>
      <c r="E7" s="216"/>
      <c r="F7" s="216"/>
      <c r="G7" s="216"/>
      <c r="H7" s="216"/>
      <c r="I7" s="217"/>
      <c r="K7"/>
      <c r="L7"/>
    </row>
    <row r="8" spans="2:12" ht="4.5" customHeight="1" thickBot="1" x14ac:dyDescent="0.25">
      <c r="B8" s="56"/>
      <c r="C8" s="173"/>
      <c r="D8" s="173"/>
      <c r="E8" s="47"/>
      <c r="F8" s="47"/>
      <c r="G8" s="47"/>
      <c r="H8" s="47"/>
      <c r="I8" s="51"/>
      <c r="K8"/>
      <c r="L8"/>
    </row>
    <row r="9" spans="2:12" ht="51.75" customHeight="1" thickBot="1" x14ac:dyDescent="0.25">
      <c r="B9" s="166" t="s">
        <v>66</v>
      </c>
      <c r="C9" s="174" t="s">
        <v>231</v>
      </c>
      <c r="D9" s="174" t="s">
        <v>232</v>
      </c>
      <c r="E9" s="65" t="s">
        <v>5</v>
      </c>
      <c r="F9" s="65" t="s">
        <v>51</v>
      </c>
      <c r="G9" s="65" t="s">
        <v>50</v>
      </c>
      <c r="H9" s="66" t="s">
        <v>0</v>
      </c>
      <c r="I9" s="67" t="s">
        <v>3</v>
      </c>
      <c r="K9"/>
      <c r="L9"/>
    </row>
    <row r="10" spans="2:12" x14ac:dyDescent="0.2">
      <c r="B10" s="44" t="str">
        <f t="shared" ref="B10:B41" si="0">VLOOKUP(E10,Employees,2,0)</f>
        <v>Charles Morton</v>
      </c>
      <c r="C10" s="99" t="str">
        <f t="shared" ref="C10:C41" si="1">VLOOKUP(E10,Employees,3,0)</f>
        <v>Corporate Sales</v>
      </c>
      <c r="D10" s="44" t="str">
        <f>IF(AND(C10 = "Corporate Sales",I10&gt;1000),B10,"")</f>
        <v>Charles Morton</v>
      </c>
      <c r="E10" s="150">
        <v>1</v>
      </c>
      <c r="F10" s="41" t="str">
        <f t="shared" ref="F10:F41" si="2">VLOOKUP(G10,Clients,2,0)</f>
        <v>City of Morton, NC</v>
      </c>
      <c r="G10" s="152" t="s">
        <v>68</v>
      </c>
      <c r="H10" s="153">
        <v>41456</v>
      </c>
      <c r="I10" s="157">
        <v>1600</v>
      </c>
      <c r="K10"/>
      <c r="L10"/>
    </row>
    <row r="11" spans="2:12" x14ac:dyDescent="0.2">
      <c r="B11" s="44" t="str">
        <f t="shared" si="0"/>
        <v>Allison Ives</v>
      </c>
      <c r="C11" s="99" t="str">
        <f t="shared" si="1"/>
        <v>Residential Sales</v>
      </c>
      <c r="D11" s="44" t="str">
        <f t="shared" ref="D11:D74" si="3">IF(AND(C11 = "Corporate Sales",I11&gt;1000),B11,"")</f>
        <v/>
      </c>
      <c r="E11" s="154">
        <v>2</v>
      </c>
      <c r="F11" s="44" t="str">
        <f t="shared" si="2"/>
        <v>Rodriguez Catering</v>
      </c>
      <c r="G11" s="155" t="s">
        <v>76</v>
      </c>
      <c r="H11" s="156">
        <v>41462</v>
      </c>
      <c r="I11" s="157">
        <v>1200</v>
      </c>
      <c r="K11"/>
      <c r="L11"/>
    </row>
    <row r="12" spans="2:12" x14ac:dyDescent="0.2">
      <c r="B12" s="44" t="str">
        <f t="shared" si="0"/>
        <v>Allison Ives</v>
      </c>
      <c r="C12" s="99" t="str">
        <f t="shared" si="1"/>
        <v>Residential Sales</v>
      </c>
      <c r="D12" s="44" t="str">
        <f t="shared" si="3"/>
        <v/>
      </c>
      <c r="E12" s="154">
        <v>2</v>
      </c>
      <c r="F12" s="44" t="str">
        <f t="shared" si="2"/>
        <v>Mallard &amp; Hernandez, Inc.</v>
      </c>
      <c r="G12" s="155" t="s">
        <v>74</v>
      </c>
      <c r="H12" s="156">
        <v>41461</v>
      </c>
      <c r="I12" s="157">
        <v>1200</v>
      </c>
      <c r="K12"/>
      <c r="L12"/>
    </row>
    <row r="13" spans="2:12" x14ac:dyDescent="0.2">
      <c r="B13" s="44" t="str">
        <f t="shared" si="0"/>
        <v>Jackson Lin</v>
      </c>
      <c r="C13" s="99" t="str">
        <f t="shared" si="1"/>
        <v>Walk-in Sales</v>
      </c>
      <c r="D13" s="44" t="str">
        <f t="shared" si="3"/>
        <v/>
      </c>
      <c r="E13" s="154">
        <v>3</v>
      </c>
      <c r="F13" s="44" t="str">
        <f t="shared" si="2"/>
        <v>Marshall Furniture</v>
      </c>
      <c r="G13" s="155" t="s">
        <v>70</v>
      </c>
      <c r="H13" s="156">
        <v>41462</v>
      </c>
      <c r="I13" s="157">
        <v>759.9999999999992</v>
      </c>
      <c r="K13"/>
      <c r="L13"/>
    </row>
    <row r="14" spans="2:12" x14ac:dyDescent="0.2">
      <c r="B14" s="44" t="str">
        <f t="shared" si="0"/>
        <v>Jackson Lin</v>
      </c>
      <c r="C14" s="99" t="str">
        <f t="shared" si="1"/>
        <v>Walk-in Sales</v>
      </c>
      <c r="D14" s="44" t="str">
        <f t="shared" si="3"/>
        <v/>
      </c>
      <c r="E14" s="154">
        <v>3</v>
      </c>
      <c r="F14" s="44" t="str">
        <f t="shared" si="2"/>
        <v>Renfrow Printers &amp; Publishers</v>
      </c>
      <c r="G14" s="155" t="s">
        <v>72</v>
      </c>
      <c r="H14" s="156">
        <v>41461</v>
      </c>
      <c r="I14" s="157">
        <v>759.9999999999992</v>
      </c>
      <c r="K14"/>
      <c r="L14"/>
    </row>
    <row r="15" spans="2:12" x14ac:dyDescent="0.2">
      <c r="B15" s="44" t="str">
        <f t="shared" si="0"/>
        <v>Rodrigo Alvarez</v>
      </c>
      <c r="C15" s="99" t="str">
        <f t="shared" si="1"/>
        <v>Corporate Sales</v>
      </c>
      <c r="D15" s="44" t="str">
        <f t="shared" si="3"/>
        <v/>
      </c>
      <c r="E15" s="154">
        <v>4</v>
      </c>
      <c r="F15" s="44" t="str">
        <f t="shared" si="2"/>
        <v>Mack's Moving &amp; Storage</v>
      </c>
      <c r="G15" s="155" t="s">
        <v>75</v>
      </c>
      <c r="H15" s="156">
        <v>41467</v>
      </c>
      <c r="I15" s="157">
        <v>759.9999999999992</v>
      </c>
      <c r="K15"/>
      <c r="L15"/>
    </row>
    <row r="16" spans="2:12" x14ac:dyDescent="0.2">
      <c r="B16" s="44" t="str">
        <f t="shared" si="0"/>
        <v>Rodrigo Alvarez</v>
      </c>
      <c r="C16" s="99" t="str">
        <f t="shared" si="1"/>
        <v>Corporate Sales</v>
      </c>
      <c r="D16" s="44" t="str">
        <f t="shared" si="3"/>
        <v/>
      </c>
      <c r="E16" s="154">
        <v>4</v>
      </c>
      <c r="F16" s="44" t="str">
        <f t="shared" si="2"/>
        <v>Sanford Booksellers, Ltd.</v>
      </c>
      <c r="G16" s="155" t="s">
        <v>73</v>
      </c>
      <c r="H16" s="156">
        <v>41468</v>
      </c>
      <c r="I16" s="157">
        <v>807.4999999999992</v>
      </c>
      <c r="K16"/>
      <c r="L16"/>
    </row>
    <row r="17" spans="2:12" x14ac:dyDescent="0.2">
      <c r="B17" s="44" t="str">
        <f t="shared" si="0"/>
        <v>Rodrigo Alvarez</v>
      </c>
      <c r="C17" s="99" t="str">
        <f t="shared" si="1"/>
        <v>Corporate Sales</v>
      </c>
      <c r="D17" s="44" t="str">
        <f t="shared" si="3"/>
        <v/>
      </c>
      <c r="E17" s="154">
        <v>4</v>
      </c>
      <c r="F17" s="44" t="str">
        <f t="shared" si="2"/>
        <v>City of Morton, NC</v>
      </c>
      <c r="G17" s="155" t="s">
        <v>68</v>
      </c>
      <c r="H17" s="156">
        <v>41469</v>
      </c>
      <c r="I17" s="157">
        <v>807.4999999999992</v>
      </c>
      <c r="K17"/>
      <c r="L17"/>
    </row>
    <row r="18" spans="2:12" x14ac:dyDescent="0.2">
      <c r="B18" s="44" t="str">
        <f t="shared" si="0"/>
        <v>Rodrigo Alvarez</v>
      </c>
      <c r="C18" s="99" t="str">
        <f t="shared" si="1"/>
        <v>Corporate Sales</v>
      </c>
      <c r="D18" s="44" t="str">
        <f t="shared" si="3"/>
        <v/>
      </c>
      <c r="E18" s="154">
        <v>4</v>
      </c>
      <c r="F18" s="44" t="str">
        <f t="shared" si="2"/>
        <v>Rodriguez Catering</v>
      </c>
      <c r="G18" s="155" t="s">
        <v>76</v>
      </c>
      <c r="H18" s="156">
        <v>41472</v>
      </c>
      <c r="I18" s="157">
        <v>522.5</v>
      </c>
      <c r="K18"/>
      <c r="L18"/>
    </row>
    <row r="19" spans="2:12" x14ac:dyDescent="0.2">
      <c r="B19" s="44" t="str">
        <f t="shared" si="0"/>
        <v>Rodrigo Alvarez</v>
      </c>
      <c r="C19" s="99" t="str">
        <f t="shared" si="1"/>
        <v>Corporate Sales</v>
      </c>
      <c r="D19" s="44" t="str">
        <f t="shared" si="3"/>
        <v/>
      </c>
      <c r="E19" s="154">
        <v>4</v>
      </c>
      <c r="F19" s="44" t="str">
        <f t="shared" si="2"/>
        <v>Mallard &amp; Hernandez, Inc.</v>
      </c>
      <c r="G19" s="155" t="s">
        <v>74</v>
      </c>
      <c r="H19" s="156">
        <v>41472</v>
      </c>
      <c r="I19" s="157">
        <v>902.49999999999932</v>
      </c>
      <c r="K19"/>
      <c r="L19"/>
    </row>
    <row r="20" spans="2:12" x14ac:dyDescent="0.2">
      <c r="B20" s="44" t="str">
        <f t="shared" si="0"/>
        <v>Arthur Reilly</v>
      </c>
      <c r="C20" s="99" t="str">
        <f t="shared" si="1"/>
        <v>Residential Sales</v>
      </c>
      <c r="D20" s="44" t="str">
        <f t="shared" si="3"/>
        <v/>
      </c>
      <c r="E20" s="154">
        <v>5</v>
      </c>
      <c r="F20" s="44" t="str">
        <f t="shared" si="2"/>
        <v>Marshall Furniture</v>
      </c>
      <c r="G20" s="155" t="s">
        <v>70</v>
      </c>
      <c r="H20" s="156">
        <v>41465</v>
      </c>
      <c r="I20" s="157">
        <v>1500</v>
      </c>
      <c r="K20"/>
      <c r="L20"/>
    </row>
    <row r="21" spans="2:12" x14ac:dyDescent="0.2">
      <c r="B21" s="44" t="str">
        <f t="shared" si="0"/>
        <v>Arthur Reilly</v>
      </c>
      <c r="C21" s="99" t="str">
        <f t="shared" si="1"/>
        <v>Residential Sales</v>
      </c>
      <c r="D21" s="44" t="str">
        <f t="shared" si="3"/>
        <v/>
      </c>
      <c r="E21" s="154">
        <v>5</v>
      </c>
      <c r="F21" s="44" t="str">
        <f t="shared" si="2"/>
        <v>Renfrow Printers &amp; Publishers</v>
      </c>
      <c r="G21" s="155" t="s">
        <v>72</v>
      </c>
      <c r="H21" s="156">
        <v>41466</v>
      </c>
      <c r="I21" s="157">
        <v>1700.0000000000002</v>
      </c>
      <c r="K21"/>
      <c r="L21"/>
    </row>
    <row r="22" spans="2:12" x14ac:dyDescent="0.2">
      <c r="B22" s="44" t="str">
        <f t="shared" si="0"/>
        <v>Jordan Hill</v>
      </c>
      <c r="C22" s="99" t="str">
        <f t="shared" si="1"/>
        <v>Walk-in Sales</v>
      </c>
      <c r="D22" s="44" t="str">
        <f t="shared" si="3"/>
        <v/>
      </c>
      <c r="E22" s="154">
        <v>6</v>
      </c>
      <c r="F22" s="44" t="str">
        <f t="shared" si="2"/>
        <v>Mack's Moving &amp; Storage</v>
      </c>
      <c r="G22" s="155" t="s">
        <v>75</v>
      </c>
      <c r="H22" s="156">
        <v>41472</v>
      </c>
      <c r="I22" s="157">
        <v>854.99999999999977</v>
      </c>
      <c r="K22"/>
      <c r="L22"/>
    </row>
    <row r="23" spans="2:12" x14ac:dyDescent="0.2">
      <c r="B23" s="44" t="str">
        <f t="shared" si="0"/>
        <v>Jordan Hill</v>
      </c>
      <c r="C23" s="99" t="str">
        <f t="shared" si="1"/>
        <v>Walk-in Sales</v>
      </c>
      <c r="D23" s="44" t="str">
        <f t="shared" si="3"/>
        <v/>
      </c>
      <c r="E23" s="154">
        <v>6</v>
      </c>
      <c r="F23" s="44" t="str">
        <f t="shared" si="2"/>
        <v>Sanford Booksellers, Ltd.</v>
      </c>
      <c r="G23" s="155" t="s">
        <v>73</v>
      </c>
      <c r="H23" s="156">
        <v>41472</v>
      </c>
      <c r="I23" s="157">
        <v>902.49999999999932</v>
      </c>
      <c r="K23"/>
      <c r="L23"/>
    </row>
    <row r="24" spans="2:12" x14ac:dyDescent="0.2">
      <c r="B24" s="44" t="str">
        <f t="shared" si="0"/>
        <v>Susanne Foster</v>
      </c>
      <c r="C24" s="99" t="str">
        <f t="shared" si="1"/>
        <v>Corporate Sales</v>
      </c>
      <c r="D24" s="44" t="str">
        <f t="shared" si="3"/>
        <v/>
      </c>
      <c r="E24" s="154">
        <v>7</v>
      </c>
      <c r="F24" s="44" t="str">
        <f t="shared" si="2"/>
        <v>School of the Environment</v>
      </c>
      <c r="G24" s="155" t="s">
        <v>69</v>
      </c>
      <c r="H24" s="156">
        <v>41466</v>
      </c>
      <c r="I24" s="157">
        <v>824.99999999999886</v>
      </c>
      <c r="K24"/>
      <c r="L24"/>
    </row>
    <row r="25" spans="2:12" x14ac:dyDescent="0.2">
      <c r="B25" s="44" t="str">
        <f t="shared" si="0"/>
        <v>Susanne Foster</v>
      </c>
      <c r="C25" s="99" t="str">
        <f t="shared" si="1"/>
        <v>Corporate Sales</v>
      </c>
      <c r="D25" s="44" t="str">
        <f t="shared" si="3"/>
        <v/>
      </c>
      <c r="E25" s="154">
        <v>7</v>
      </c>
      <c r="F25" s="44" t="str">
        <f t="shared" si="2"/>
        <v>Tandy's, Inc.</v>
      </c>
      <c r="G25" s="155" t="s">
        <v>71</v>
      </c>
      <c r="H25" s="156">
        <v>41467</v>
      </c>
      <c r="I25" s="157">
        <v>937.49999999999886</v>
      </c>
      <c r="K25"/>
      <c r="L25"/>
    </row>
    <row r="26" spans="2:12" x14ac:dyDescent="0.2">
      <c r="B26" s="44" t="str">
        <f t="shared" si="0"/>
        <v>Scott Dilworth</v>
      </c>
      <c r="C26" s="99" t="str">
        <f t="shared" si="1"/>
        <v>Residential Sales</v>
      </c>
      <c r="D26" s="44" t="str">
        <f t="shared" si="3"/>
        <v/>
      </c>
      <c r="E26" s="154">
        <v>8</v>
      </c>
      <c r="F26" s="44" t="str">
        <f t="shared" si="2"/>
        <v>Wardell, Mingus, and Krenshaw</v>
      </c>
      <c r="G26" s="155" t="s">
        <v>67</v>
      </c>
      <c r="H26" s="156">
        <v>41466</v>
      </c>
      <c r="I26" s="157">
        <v>600.00000000000023</v>
      </c>
      <c r="K26"/>
      <c r="L26"/>
    </row>
    <row r="27" spans="2:12" x14ac:dyDescent="0.2">
      <c r="B27" s="44" t="str">
        <f t="shared" si="0"/>
        <v>Scott Dilworth</v>
      </c>
      <c r="C27" s="99" t="str">
        <f t="shared" si="1"/>
        <v>Residential Sales</v>
      </c>
      <c r="D27" s="44" t="str">
        <f t="shared" si="3"/>
        <v/>
      </c>
      <c r="E27" s="154">
        <v>8</v>
      </c>
      <c r="F27" s="44" t="str">
        <f t="shared" si="2"/>
        <v>School of the Environment</v>
      </c>
      <c r="G27" s="155" t="s">
        <v>69</v>
      </c>
      <c r="H27" s="156">
        <v>41467</v>
      </c>
      <c r="I27" s="157">
        <v>1312.5000000000002</v>
      </c>
      <c r="K27"/>
      <c r="L27"/>
    </row>
    <row r="28" spans="2:12" x14ac:dyDescent="0.2">
      <c r="B28" s="44" t="str">
        <f t="shared" si="0"/>
        <v>Kate Emerson</v>
      </c>
      <c r="C28" s="99" t="str">
        <f t="shared" si="1"/>
        <v>Walk-in Sales</v>
      </c>
      <c r="D28" s="44" t="str">
        <f t="shared" si="3"/>
        <v/>
      </c>
      <c r="E28" s="154">
        <v>9</v>
      </c>
      <c r="F28" s="44" t="str">
        <f t="shared" si="2"/>
        <v>Tandy's, Inc.</v>
      </c>
      <c r="G28" s="155" t="s">
        <v>71</v>
      </c>
      <c r="H28" s="156">
        <v>41472</v>
      </c>
      <c r="I28" s="157">
        <v>1599.9999999999998</v>
      </c>
      <c r="K28"/>
      <c r="L28"/>
    </row>
    <row r="29" spans="2:12" x14ac:dyDescent="0.2">
      <c r="B29" s="44" t="str">
        <f t="shared" si="0"/>
        <v>Kate Emerson</v>
      </c>
      <c r="C29" s="99" t="str">
        <f t="shared" si="1"/>
        <v>Walk-in Sales</v>
      </c>
      <c r="D29" s="44" t="str">
        <f t="shared" si="3"/>
        <v/>
      </c>
      <c r="E29" s="154">
        <v>9</v>
      </c>
      <c r="F29" s="44" t="str">
        <f t="shared" si="2"/>
        <v>Marshall Furniture</v>
      </c>
      <c r="G29" s="155" t="s">
        <v>70</v>
      </c>
      <c r="H29" s="156">
        <v>41471</v>
      </c>
      <c r="I29" s="157">
        <v>1300</v>
      </c>
      <c r="K29"/>
      <c r="L29"/>
    </row>
    <row r="30" spans="2:12" x14ac:dyDescent="0.2">
      <c r="B30" s="44" t="str">
        <f t="shared" si="0"/>
        <v>Lori Anderson</v>
      </c>
      <c r="C30" s="99" t="str">
        <f t="shared" si="1"/>
        <v>Corporate Sales</v>
      </c>
      <c r="D30" s="44" t="str">
        <f t="shared" si="3"/>
        <v/>
      </c>
      <c r="E30" s="154">
        <v>10</v>
      </c>
      <c r="F30" s="44" t="str">
        <f t="shared" si="2"/>
        <v>Renfrow Printers &amp; Publishers</v>
      </c>
      <c r="G30" s="155" t="s">
        <v>72</v>
      </c>
      <c r="H30" s="156">
        <v>41473</v>
      </c>
      <c r="I30" s="157">
        <v>712.49999999999989</v>
      </c>
      <c r="K30"/>
      <c r="L30"/>
    </row>
    <row r="31" spans="2:12" x14ac:dyDescent="0.2">
      <c r="B31" s="44" t="str">
        <f t="shared" si="0"/>
        <v>Lori Anderson</v>
      </c>
      <c r="C31" s="99" t="str">
        <f t="shared" si="1"/>
        <v>Corporate Sales</v>
      </c>
      <c r="D31" s="44" t="str">
        <f t="shared" si="3"/>
        <v/>
      </c>
      <c r="E31" s="154">
        <v>10</v>
      </c>
      <c r="F31" s="44" t="str">
        <f t="shared" si="2"/>
        <v>Mack's Moving &amp; Storage</v>
      </c>
      <c r="G31" s="155" t="s">
        <v>75</v>
      </c>
      <c r="H31" s="156">
        <v>41474</v>
      </c>
      <c r="I31" s="157">
        <v>189.99999999999997</v>
      </c>
      <c r="K31"/>
      <c r="L31"/>
    </row>
    <row r="32" spans="2:12" x14ac:dyDescent="0.2">
      <c r="B32" s="44" t="str">
        <f t="shared" si="0"/>
        <v>Eric Stokes</v>
      </c>
      <c r="C32" s="99" t="str">
        <f t="shared" si="1"/>
        <v>Residential Sales</v>
      </c>
      <c r="D32" s="44" t="str">
        <f t="shared" si="3"/>
        <v/>
      </c>
      <c r="E32" s="154">
        <v>11</v>
      </c>
      <c r="F32" s="44" t="str">
        <f t="shared" si="2"/>
        <v>Sanford Booksellers, Ltd.</v>
      </c>
      <c r="G32" s="155" t="s">
        <v>73</v>
      </c>
      <c r="H32" s="156">
        <v>41467</v>
      </c>
      <c r="I32" s="157">
        <v>800</v>
      </c>
      <c r="K32"/>
      <c r="L32"/>
    </row>
    <row r="33" spans="2:12" x14ac:dyDescent="0.2">
      <c r="B33" s="44" t="str">
        <f t="shared" si="0"/>
        <v>Eric Stokes</v>
      </c>
      <c r="C33" s="99" t="str">
        <f t="shared" si="1"/>
        <v>Residential Sales</v>
      </c>
      <c r="D33" s="44" t="str">
        <f t="shared" si="3"/>
        <v/>
      </c>
      <c r="E33" s="154">
        <v>11</v>
      </c>
      <c r="F33" s="44" t="str">
        <f t="shared" si="2"/>
        <v>School of the Environment</v>
      </c>
      <c r="G33" s="155" t="s">
        <v>69</v>
      </c>
      <c r="H33" s="156">
        <v>41469</v>
      </c>
      <c r="I33" s="157">
        <v>1800</v>
      </c>
      <c r="K33"/>
      <c r="L33"/>
    </row>
    <row r="34" spans="2:12" x14ac:dyDescent="0.2">
      <c r="B34" s="44" t="str">
        <f t="shared" si="0"/>
        <v>Eric Stokes</v>
      </c>
      <c r="C34" s="99" t="str">
        <f t="shared" si="1"/>
        <v>Residential Sales</v>
      </c>
      <c r="D34" s="44" t="str">
        <f t="shared" si="3"/>
        <v/>
      </c>
      <c r="E34" s="154">
        <v>11</v>
      </c>
      <c r="F34" s="44" t="str">
        <f t="shared" si="2"/>
        <v>Mallard &amp; Hernandez, Inc.</v>
      </c>
      <c r="G34" s="155" t="s">
        <v>74</v>
      </c>
      <c r="H34" s="156">
        <v>41472</v>
      </c>
      <c r="I34" s="157">
        <v>1650.0000000000005</v>
      </c>
      <c r="K34"/>
      <c r="L34"/>
    </row>
    <row r="35" spans="2:12" x14ac:dyDescent="0.2">
      <c r="B35" s="44" t="str">
        <f t="shared" si="0"/>
        <v>Eric Stokes</v>
      </c>
      <c r="C35" s="99" t="str">
        <f t="shared" si="1"/>
        <v>Residential Sales</v>
      </c>
      <c r="D35" s="44" t="str">
        <f t="shared" si="3"/>
        <v/>
      </c>
      <c r="E35" s="154">
        <v>11</v>
      </c>
      <c r="F35" s="44" t="str">
        <f t="shared" si="2"/>
        <v>Marshall Furniture</v>
      </c>
      <c r="G35" s="155" t="s">
        <v>70</v>
      </c>
      <c r="H35" s="156">
        <v>41473</v>
      </c>
      <c r="I35" s="157">
        <v>2000.0000000000002</v>
      </c>
      <c r="K35"/>
      <c r="L35"/>
    </row>
    <row r="36" spans="2:12" x14ac:dyDescent="0.2">
      <c r="B36" s="44" t="str">
        <f t="shared" si="0"/>
        <v>Eric Stokes</v>
      </c>
      <c r="C36" s="99" t="str">
        <f t="shared" si="1"/>
        <v>Residential Sales</v>
      </c>
      <c r="D36" s="44" t="str">
        <f t="shared" si="3"/>
        <v/>
      </c>
      <c r="E36" s="154">
        <v>11</v>
      </c>
      <c r="F36" s="44" t="str">
        <f t="shared" si="2"/>
        <v>Renfrow Printers &amp; Publishers</v>
      </c>
      <c r="G36" s="155" t="s">
        <v>72</v>
      </c>
      <c r="H36" s="156">
        <v>41476</v>
      </c>
      <c r="I36" s="157">
        <v>600.00000000000023</v>
      </c>
      <c r="K36"/>
      <c r="L36"/>
    </row>
    <row r="37" spans="2:12" x14ac:dyDescent="0.2">
      <c r="B37" s="44" t="str">
        <f t="shared" si="0"/>
        <v>Sarah Heller</v>
      </c>
      <c r="C37" s="99" t="str">
        <f t="shared" si="1"/>
        <v>Walk-in Sales</v>
      </c>
      <c r="D37" s="44" t="str">
        <f t="shared" si="3"/>
        <v/>
      </c>
      <c r="E37" s="154">
        <v>12</v>
      </c>
      <c r="F37" s="44" t="str">
        <f t="shared" si="2"/>
        <v>Mack's Moving &amp; Storage</v>
      </c>
      <c r="G37" s="155" t="s">
        <v>75</v>
      </c>
      <c r="H37" s="156">
        <v>41475</v>
      </c>
      <c r="I37" s="157">
        <v>824.99999999999977</v>
      </c>
      <c r="K37"/>
      <c r="L37"/>
    </row>
    <row r="38" spans="2:12" x14ac:dyDescent="0.2">
      <c r="B38" s="44" t="str">
        <f t="shared" si="0"/>
        <v>Sarah Heller</v>
      </c>
      <c r="C38" s="99" t="str">
        <f t="shared" si="1"/>
        <v>Walk-in Sales</v>
      </c>
      <c r="D38" s="44" t="str">
        <f t="shared" si="3"/>
        <v/>
      </c>
      <c r="E38" s="154">
        <v>12</v>
      </c>
      <c r="F38" s="44" t="str">
        <f t="shared" si="2"/>
        <v>Sanford Booksellers, Ltd.</v>
      </c>
      <c r="G38" s="155" t="s">
        <v>73</v>
      </c>
      <c r="H38" s="156">
        <v>41477</v>
      </c>
      <c r="I38" s="157">
        <v>1200</v>
      </c>
      <c r="K38"/>
      <c r="L38"/>
    </row>
    <row r="39" spans="2:12" x14ac:dyDescent="0.2">
      <c r="B39" s="44" t="str">
        <f t="shared" si="0"/>
        <v>Carol Johnson</v>
      </c>
      <c r="C39" s="99" t="str">
        <f t="shared" si="1"/>
        <v>Corporate Sales</v>
      </c>
      <c r="D39" s="44" t="str">
        <f t="shared" si="3"/>
        <v>Carol Johnson</v>
      </c>
      <c r="E39" s="154">
        <v>13</v>
      </c>
      <c r="F39" s="44" t="str">
        <f t="shared" si="2"/>
        <v>Marshall Furniture</v>
      </c>
      <c r="G39" s="155" t="s">
        <v>70</v>
      </c>
      <c r="H39" s="156">
        <v>41472</v>
      </c>
      <c r="I39" s="157">
        <v>1387.5</v>
      </c>
      <c r="K39"/>
      <c r="L39"/>
    </row>
    <row r="40" spans="2:12" x14ac:dyDescent="0.2">
      <c r="B40" s="44" t="str">
        <f t="shared" si="0"/>
        <v>Kevin McCallum</v>
      </c>
      <c r="C40" s="99" t="str">
        <f t="shared" si="1"/>
        <v>Residential Sales</v>
      </c>
      <c r="D40" s="44" t="str">
        <f t="shared" si="3"/>
        <v/>
      </c>
      <c r="E40" s="154">
        <v>14</v>
      </c>
      <c r="F40" s="44" t="str">
        <f t="shared" si="2"/>
        <v>Renfrow Printers &amp; Publishers</v>
      </c>
      <c r="G40" s="155" t="s">
        <v>72</v>
      </c>
      <c r="H40" s="156">
        <v>41467</v>
      </c>
      <c r="I40" s="157">
        <v>902.49999999999932</v>
      </c>
      <c r="K40"/>
      <c r="L40"/>
    </row>
    <row r="41" spans="2:12" x14ac:dyDescent="0.2">
      <c r="B41" s="44" t="str">
        <f t="shared" si="0"/>
        <v>Kevin McCallum</v>
      </c>
      <c r="C41" s="99" t="str">
        <f t="shared" si="1"/>
        <v>Residential Sales</v>
      </c>
      <c r="D41" s="44" t="str">
        <f t="shared" si="3"/>
        <v/>
      </c>
      <c r="E41" s="154">
        <v>14</v>
      </c>
      <c r="F41" s="44" t="str">
        <f t="shared" si="2"/>
        <v>Mack's Moving &amp; Storage</v>
      </c>
      <c r="G41" s="155" t="s">
        <v>75</v>
      </c>
      <c r="H41" s="156">
        <v>41468</v>
      </c>
      <c r="I41" s="157">
        <v>1092.4999999999991</v>
      </c>
      <c r="K41"/>
      <c r="L41"/>
    </row>
    <row r="42" spans="2:12" x14ac:dyDescent="0.2">
      <c r="B42" s="44" t="str">
        <f t="shared" ref="B42:B73" si="4">VLOOKUP(E42,Employees,2,0)</f>
        <v>Kevin McCallum</v>
      </c>
      <c r="C42" s="99" t="str">
        <f t="shared" ref="C42:C73" si="5">VLOOKUP(E42,Employees,3,0)</f>
        <v>Residential Sales</v>
      </c>
      <c r="D42" s="44" t="str">
        <f t="shared" si="3"/>
        <v/>
      </c>
      <c r="E42" s="154">
        <v>14</v>
      </c>
      <c r="F42" s="44" t="str">
        <f t="shared" ref="F42:F73" si="6">VLOOKUP(G42,Clients,2,0)</f>
        <v>Sanford Booksellers, Ltd.</v>
      </c>
      <c r="G42" s="155" t="s">
        <v>73</v>
      </c>
      <c r="H42" s="156">
        <v>41472</v>
      </c>
      <c r="I42" s="157">
        <v>760.00000000000011</v>
      </c>
      <c r="K42"/>
      <c r="L42"/>
    </row>
    <row r="43" spans="2:12" x14ac:dyDescent="0.2">
      <c r="B43" s="44" t="str">
        <f t="shared" si="4"/>
        <v>Kevin McCallum</v>
      </c>
      <c r="C43" s="99" t="str">
        <f t="shared" si="5"/>
        <v>Residential Sales</v>
      </c>
      <c r="D43" s="44" t="str">
        <f t="shared" si="3"/>
        <v/>
      </c>
      <c r="E43" s="154">
        <v>14</v>
      </c>
      <c r="F43" s="44" t="str">
        <f t="shared" si="6"/>
        <v>School of the Environment</v>
      </c>
      <c r="G43" s="155" t="s">
        <v>69</v>
      </c>
      <c r="H43" s="156">
        <v>41473</v>
      </c>
      <c r="I43" s="157">
        <v>759.9999999999992</v>
      </c>
      <c r="K43"/>
      <c r="L43"/>
    </row>
    <row r="44" spans="2:12" x14ac:dyDescent="0.2">
      <c r="B44" s="44" t="str">
        <f t="shared" si="4"/>
        <v>Kevin McCallum</v>
      </c>
      <c r="C44" s="99" t="str">
        <f t="shared" si="5"/>
        <v>Residential Sales</v>
      </c>
      <c r="D44" s="44" t="str">
        <f t="shared" si="3"/>
        <v/>
      </c>
      <c r="E44" s="154">
        <v>14</v>
      </c>
      <c r="F44" s="44" t="str">
        <f t="shared" si="6"/>
        <v>Marshall Furniture</v>
      </c>
      <c r="G44" s="155" t="s">
        <v>70</v>
      </c>
      <c r="H44" s="156">
        <v>41477</v>
      </c>
      <c r="I44" s="157">
        <v>380.0000000000008</v>
      </c>
      <c r="K44"/>
      <c r="L44"/>
    </row>
    <row r="45" spans="2:12" x14ac:dyDescent="0.2">
      <c r="B45" s="44" t="str">
        <f t="shared" si="4"/>
        <v>Kevin McCallum</v>
      </c>
      <c r="C45" s="99" t="str">
        <f t="shared" si="5"/>
        <v>Residential Sales</v>
      </c>
      <c r="D45" s="44" t="str">
        <f t="shared" si="3"/>
        <v/>
      </c>
      <c r="E45" s="154">
        <v>14</v>
      </c>
      <c r="F45" s="44" t="str">
        <f t="shared" si="6"/>
        <v>Renfrow Printers &amp; Publishers</v>
      </c>
      <c r="G45" s="155" t="s">
        <v>72</v>
      </c>
      <c r="H45" s="156">
        <v>41483</v>
      </c>
      <c r="I45" s="157">
        <v>760</v>
      </c>
      <c r="K45"/>
      <c r="L45"/>
    </row>
    <row r="46" spans="2:12" x14ac:dyDescent="0.2">
      <c r="B46" s="44" t="str">
        <f t="shared" si="4"/>
        <v>James Hartigan</v>
      </c>
      <c r="C46" s="99" t="str">
        <f t="shared" si="5"/>
        <v>Walk-in Sales</v>
      </c>
      <c r="D46" s="44" t="str">
        <f t="shared" si="3"/>
        <v/>
      </c>
      <c r="E46" s="154">
        <v>15</v>
      </c>
      <c r="F46" s="44" t="str">
        <f t="shared" si="6"/>
        <v>Mack's Moving &amp; Storage</v>
      </c>
      <c r="G46" s="155" t="s">
        <v>75</v>
      </c>
      <c r="H46" s="156">
        <v>41469</v>
      </c>
      <c r="I46" s="157">
        <v>1899.9999999999984</v>
      </c>
      <c r="K46"/>
      <c r="L46"/>
    </row>
    <row r="47" spans="2:12" x14ac:dyDescent="0.2">
      <c r="B47" s="44" t="str">
        <f t="shared" si="4"/>
        <v>James Hartigan</v>
      </c>
      <c r="C47" s="99" t="str">
        <f t="shared" si="5"/>
        <v>Walk-in Sales</v>
      </c>
      <c r="D47" s="44" t="str">
        <f t="shared" si="3"/>
        <v/>
      </c>
      <c r="E47" s="154">
        <v>15</v>
      </c>
      <c r="F47" s="44" t="str">
        <f t="shared" si="6"/>
        <v>Sanford Booksellers, Ltd.</v>
      </c>
      <c r="G47" s="155" t="s">
        <v>73</v>
      </c>
      <c r="H47" s="156">
        <v>41472</v>
      </c>
      <c r="I47" s="157">
        <v>1200</v>
      </c>
      <c r="K47"/>
      <c r="L47"/>
    </row>
    <row r="48" spans="2:12" x14ac:dyDescent="0.2">
      <c r="B48" s="44" t="str">
        <f t="shared" si="4"/>
        <v>Thomas Hoffman</v>
      </c>
      <c r="C48" s="99" t="str">
        <f t="shared" si="5"/>
        <v>Corporate Sales</v>
      </c>
      <c r="D48" s="44" t="str">
        <f t="shared" si="3"/>
        <v>Thomas Hoffman</v>
      </c>
      <c r="E48" s="154">
        <v>16</v>
      </c>
      <c r="F48" s="44" t="str">
        <f t="shared" si="6"/>
        <v>School of the Environment</v>
      </c>
      <c r="G48" s="155" t="s">
        <v>69</v>
      </c>
      <c r="H48" s="156">
        <v>41473</v>
      </c>
      <c r="I48" s="157">
        <v>1400</v>
      </c>
      <c r="K48"/>
      <c r="L48"/>
    </row>
    <row r="49" spans="2:12" x14ac:dyDescent="0.2">
      <c r="B49" s="44" t="str">
        <f t="shared" si="4"/>
        <v>Thomas Hoffman</v>
      </c>
      <c r="C49" s="99" t="str">
        <f t="shared" si="5"/>
        <v>Corporate Sales</v>
      </c>
      <c r="D49" s="44" t="str">
        <f t="shared" si="3"/>
        <v/>
      </c>
      <c r="E49" s="154">
        <v>16</v>
      </c>
      <c r="F49" s="44" t="str">
        <f t="shared" si="6"/>
        <v>City of Morton, NC</v>
      </c>
      <c r="G49" s="155" t="s">
        <v>68</v>
      </c>
      <c r="H49" s="156">
        <v>41474</v>
      </c>
      <c r="I49" s="157">
        <v>1000</v>
      </c>
      <c r="K49"/>
      <c r="L49"/>
    </row>
    <row r="50" spans="2:12" x14ac:dyDescent="0.2">
      <c r="B50" s="44" t="str">
        <f t="shared" si="4"/>
        <v>Bryan Fowler</v>
      </c>
      <c r="C50" s="99" t="str">
        <f t="shared" si="5"/>
        <v>Residential Sales</v>
      </c>
      <c r="D50" s="44" t="str">
        <f t="shared" si="3"/>
        <v/>
      </c>
      <c r="E50" s="154">
        <v>17</v>
      </c>
      <c r="F50" s="44" t="str">
        <f t="shared" si="6"/>
        <v>Rodriguez Catering</v>
      </c>
      <c r="G50" s="155" t="s">
        <v>76</v>
      </c>
      <c r="H50" s="156">
        <v>41461</v>
      </c>
      <c r="I50" s="157">
        <v>825</v>
      </c>
      <c r="K50"/>
    </row>
    <row r="51" spans="2:12" x14ac:dyDescent="0.2">
      <c r="B51" s="44" t="str">
        <f t="shared" si="4"/>
        <v>Bryan Fowler</v>
      </c>
      <c r="C51" s="99" t="str">
        <f t="shared" si="5"/>
        <v>Residential Sales</v>
      </c>
      <c r="D51" s="44" t="str">
        <f t="shared" si="3"/>
        <v/>
      </c>
      <c r="E51" s="154">
        <v>17</v>
      </c>
      <c r="F51" s="44" t="str">
        <f t="shared" si="6"/>
        <v>Mallard &amp; Hernandez, Inc.</v>
      </c>
      <c r="G51" s="155" t="s">
        <v>74</v>
      </c>
      <c r="H51" s="156">
        <v>41462</v>
      </c>
      <c r="I51" s="157">
        <v>937.49999999999886</v>
      </c>
      <c r="K51"/>
    </row>
    <row r="52" spans="2:12" x14ac:dyDescent="0.2">
      <c r="B52" s="44" t="str">
        <f t="shared" si="4"/>
        <v>Bryan Fowler</v>
      </c>
      <c r="C52" s="99" t="str">
        <f t="shared" si="5"/>
        <v>Residential Sales</v>
      </c>
      <c r="D52" s="44" t="str">
        <f t="shared" si="3"/>
        <v/>
      </c>
      <c r="E52" s="154">
        <v>17</v>
      </c>
      <c r="F52" s="44" t="str">
        <f t="shared" si="6"/>
        <v>Marshall Furniture</v>
      </c>
      <c r="G52" s="155" t="s">
        <v>70</v>
      </c>
      <c r="H52" s="156">
        <v>41463</v>
      </c>
      <c r="I52" s="157">
        <v>937.49999999999886</v>
      </c>
      <c r="K52"/>
    </row>
    <row r="53" spans="2:12" x14ac:dyDescent="0.2">
      <c r="B53" s="44" t="str">
        <f t="shared" si="4"/>
        <v>Bryan Fowler</v>
      </c>
      <c r="C53" s="99" t="str">
        <f t="shared" si="5"/>
        <v>Residential Sales</v>
      </c>
      <c r="D53" s="44" t="str">
        <f t="shared" si="3"/>
        <v/>
      </c>
      <c r="E53" s="154">
        <v>17</v>
      </c>
      <c r="F53" s="44" t="str">
        <f t="shared" si="6"/>
        <v>Renfrow Printers &amp; Publishers</v>
      </c>
      <c r="G53" s="155" t="s">
        <v>72</v>
      </c>
      <c r="H53" s="156">
        <v>41464</v>
      </c>
      <c r="I53" s="157">
        <v>974.99999999999886</v>
      </c>
      <c r="K53"/>
    </row>
    <row r="54" spans="2:12" x14ac:dyDescent="0.2">
      <c r="B54" s="44" t="str">
        <f t="shared" si="4"/>
        <v>Bryan Fowler</v>
      </c>
      <c r="C54" s="99" t="str">
        <f t="shared" si="5"/>
        <v>Residential Sales</v>
      </c>
      <c r="D54" s="44" t="str">
        <f t="shared" si="3"/>
        <v/>
      </c>
      <c r="E54" s="154">
        <v>17</v>
      </c>
      <c r="F54" s="44" t="str">
        <f t="shared" si="6"/>
        <v>Mack's Moving &amp; Storage</v>
      </c>
      <c r="G54" s="155" t="s">
        <v>75</v>
      </c>
      <c r="H54" s="156">
        <v>41465</v>
      </c>
      <c r="I54" s="157">
        <v>1274.9999999999989</v>
      </c>
      <c r="K54"/>
    </row>
    <row r="55" spans="2:12" x14ac:dyDescent="0.2">
      <c r="B55" s="44" t="str">
        <f t="shared" si="4"/>
        <v>Bryan Fowler</v>
      </c>
      <c r="C55" s="99" t="str">
        <f t="shared" si="5"/>
        <v>Residential Sales</v>
      </c>
      <c r="D55" s="44" t="str">
        <f t="shared" si="3"/>
        <v/>
      </c>
      <c r="E55" s="154">
        <v>17</v>
      </c>
      <c r="F55" s="44" t="str">
        <f t="shared" si="6"/>
        <v>Sanford Booksellers, Ltd.</v>
      </c>
      <c r="G55" s="155" t="s">
        <v>73</v>
      </c>
      <c r="H55" s="156">
        <v>41466</v>
      </c>
      <c r="I55" s="157">
        <v>937.49999999999886</v>
      </c>
      <c r="K55"/>
    </row>
    <row r="56" spans="2:12" x14ac:dyDescent="0.2">
      <c r="B56" s="44" t="str">
        <f t="shared" si="4"/>
        <v>Elizabeth Roy</v>
      </c>
      <c r="C56" s="99" t="str">
        <f t="shared" si="5"/>
        <v>Walk-in Sales</v>
      </c>
      <c r="D56" s="44" t="str">
        <f t="shared" si="3"/>
        <v/>
      </c>
      <c r="E56" s="154">
        <v>18</v>
      </c>
      <c r="F56" s="44" t="str">
        <f t="shared" si="6"/>
        <v>School of the Environment</v>
      </c>
      <c r="G56" s="155" t="s">
        <v>69</v>
      </c>
      <c r="H56" s="156">
        <v>41456</v>
      </c>
      <c r="I56" s="157">
        <v>570.00000000000011</v>
      </c>
      <c r="K56"/>
    </row>
    <row r="57" spans="2:12" x14ac:dyDescent="0.2">
      <c r="B57" s="44" t="str">
        <f t="shared" si="4"/>
        <v>Elizabeth Roy</v>
      </c>
      <c r="C57" s="99" t="str">
        <f t="shared" si="5"/>
        <v>Walk-in Sales</v>
      </c>
      <c r="D57" s="44" t="str">
        <f t="shared" si="3"/>
        <v/>
      </c>
      <c r="E57" s="154">
        <v>18</v>
      </c>
      <c r="F57" s="44" t="str">
        <f t="shared" si="6"/>
        <v>Tandy's, Inc.</v>
      </c>
      <c r="G57" s="155" t="s">
        <v>71</v>
      </c>
      <c r="H57" s="156">
        <v>41458</v>
      </c>
      <c r="I57" s="157">
        <v>570</v>
      </c>
      <c r="K57"/>
    </row>
    <row r="58" spans="2:12" x14ac:dyDescent="0.2">
      <c r="B58" s="44" t="str">
        <f t="shared" si="4"/>
        <v>Elizabeth Roy</v>
      </c>
      <c r="C58" s="99" t="str">
        <f t="shared" si="5"/>
        <v>Walk-in Sales</v>
      </c>
      <c r="D58" s="44" t="str">
        <f t="shared" si="3"/>
        <v/>
      </c>
      <c r="E58" s="154">
        <v>18</v>
      </c>
      <c r="F58" s="44" t="str">
        <f t="shared" si="6"/>
        <v>Wardell, Mingus, and Krenshaw</v>
      </c>
      <c r="G58" s="155" t="s">
        <v>67</v>
      </c>
      <c r="H58" s="156">
        <v>41459</v>
      </c>
      <c r="I58" s="157">
        <v>688.75</v>
      </c>
      <c r="K58"/>
    </row>
    <row r="59" spans="2:12" x14ac:dyDescent="0.2">
      <c r="B59" s="44" t="str">
        <f t="shared" si="4"/>
        <v>Elizabeth Roy</v>
      </c>
      <c r="C59" s="99" t="str">
        <f t="shared" si="5"/>
        <v>Walk-in Sales</v>
      </c>
      <c r="D59" s="44" t="str">
        <f t="shared" si="3"/>
        <v/>
      </c>
      <c r="E59" s="154">
        <v>18</v>
      </c>
      <c r="F59" s="44" t="str">
        <f t="shared" si="6"/>
        <v>Marshall Furniture</v>
      </c>
      <c r="G59" s="155" t="s">
        <v>70</v>
      </c>
      <c r="H59" s="156">
        <v>41462</v>
      </c>
      <c r="I59" s="157">
        <v>712.5</v>
      </c>
      <c r="K59"/>
    </row>
    <row r="60" spans="2:12" x14ac:dyDescent="0.2">
      <c r="B60" s="44" t="str">
        <f t="shared" si="4"/>
        <v>Elizabeth Roy</v>
      </c>
      <c r="C60" s="99" t="str">
        <f t="shared" si="5"/>
        <v>Walk-in Sales</v>
      </c>
      <c r="D60" s="44" t="str">
        <f t="shared" si="3"/>
        <v/>
      </c>
      <c r="E60" s="154">
        <v>18</v>
      </c>
      <c r="F60" s="44" t="str">
        <f t="shared" si="6"/>
        <v>Renfrow Printers &amp; Publishers</v>
      </c>
      <c r="G60" s="155" t="s">
        <v>72</v>
      </c>
      <c r="H60" s="156">
        <v>41467</v>
      </c>
      <c r="I60" s="157">
        <v>617.4999999999992</v>
      </c>
      <c r="K60"/>
    </row>
    <row r="61" spans="2:12" x14ac:dyDescent="0.2">
      <c r="B61" s="44" t="str">
        <f t="shared" si="4"/>
        <v>Nadine Smith</v>
      </c>
      <c r="C61" s="99" t="str">
        <f t="shared" si="5"/>
        <v>Corporate Sales</v>
      </c>
      <c r="D61" s="44" t="str">
        <f t="shared" si="3"/>
        <v>Nadine Smith</v>
      </c>
      <c r="E61" s="154">
        <v>19</v>
      </c>
      <c r="F61" s="44" t="str">
        <f t="shared" si="6"/>
        <v>Mack's Moving &amp; Storage</v>
      </c>
      <c r="G61" s="155" t="s">
        <v>75</v>
      </c>
      <c r="H61" s="156">
        <v>41469</v>
      </c>
      <c r="I61" s="157">
        <v>1049.9999999999989</v>
      </c>
      <c r="K61"/>
    </row>
    <row r="62" spans="2:12" x14ac:dyDescent="0.2">
      <c r="B62" s="44" t="str">
        <f t="shared" si="4"/>
        <v>Nadine Smith</v>
      </c>
      <c r="C62" s="99" t="str">
        <f t="shared" si="5"/>
        <v>Corporate Sales</v>
      </c>
      <c r="D62" s="44" t="str">
        <f t="shared" si="3"/>
        <v/>
      </c>
      <c r="E62" s="154">
        <v>19</v>
      </c>
      <c r="F62" s="44" t="str">
        <f t="shared" si="6"/>
        <v>Sanford Booksellers, Ltd.</v>
      </c>
      <c r="G62" s="155" t="s">
        <v>73</v>
      </c>
      <c r="H62" s="156">
        <v>41472</v>
      </c>
      <c r="I62" s="157">
        <v>300.00000000000011</v>
      </c>
      <c r="K62"/>
    </row>
    <row r="63" spans="2:12" x14ac:dyDescent="0.2">
      <c r="B63" s="44" t="str">
        <f t="shared" si="4"/>
        <v>John Pane</v>
      </c>
      <c r="C63" s="99" t="str">
        <f t="shared" si="5"/>
        <v>Residential Sales</v>
      </c>
      <c r="D63" s="44" t="str">
        <f t="shared" si="3"/>
        <v/>
      </c>
      <c r="E63" s="154">
        <v>20</v>
      </c>
      <c r="F63" s="44" t="str">
        <f t="shared" si="6"/>
        <v>School of the Environment</v>
      </c>
      <c r="G63" s="155" t="s">
        <v>69</v>
      </c>
      <c r="H63" s="156">
        <v>41478</v>
      </c>
      <c r="I63" s="157">
        <v>1350</v>
      </c>
      <c r="K63"/>
    </row>
    <row r="64" spans="2:12" x14ac:dyDescent="0.2">
      <c r="B64" s="44" t="str">
        <f t="shared" si="4"/>
        <v>John Pane</v>
      </c>
      <c r="C64" s="99" t="str">
        <f t="shared" si="5"/>
        <v>Residential Sales</v>
      </c>
      <c r="D64" s="44" t="str">
        <f t="shared" si="3"/>
        <v/>
      </c>
      <c r="E64" s="154">
        <v>20</v>
      </c>
      <c r="F64" s="44" t="str">
        <f t="shared" si="6"/>
        <v>Renfrow Printers &amp; Publishers</v>
      </c>
      <c r="G64" s="155" t="s">
        <v>72</v>
      </c>
      <c r="H64" s="156">
        <v>41479</v>
      </c>
      <c r="I64" s="157">
        <v>1599.9999999999998</v>
      </c>
      <c r="K64"/>
    </row>
    <row r="65" spans="2:11" x14ac:dyDescent="0.2">
      <c r="B65" s="44" t="str">
        <f t="shared" si="4"/>
        <v>John O'Donnell</v>
      </c>
      <c r="C65" s="99" t="str">
        <f t="shared" si="5"/>
        <v>Walk-in Sales</v>
      </c>
      <c r="D65" s="44" t="str">
        <f t="shared" si="3"/>
        <v/>
      </c>
      <c r="E65" s="154">
        <v>21</v>
      </c>
      <c r="F65" s="44" t="str">
        <f t="shared" si="6"/>
        <v>Mack's Moving &amp; Storage</v>
      </c>
      <c r="G65" s="155" t="s">
        <v>75</v>
      </c>
      <c r="H65" s="156">
        <v>41477</v>
      </c>
      <c r="I65" s="157">
        <v>825</v>
      </c>
      <c r="K65"/>
    </row>
    <row r="66" spans="2:11" x14ac:dyDescent="0.2">
      <c r="B66" s="44" t="str">
        <f t="shared" si="4"/>
        <v>John O'Donnell</v>
      </c>
      <c r="C66" s="99" t="str">
        <f t="shared" si="5"/>
        <v>Walk-in Sales</v>
      </c>
      <c r="D66" s="44" t="str">
        <f t="shared" si="3"/>
        <v/>
      </c>
      <c r="E66" s="154">
        <v>21</v>
      </c>
      <c r="F66" s="44" t="str">
        <f t="shared" si="6"/>
        <v>Sanford Booksellers, Ltd.</v>
      </c>
      <c r="G66" s="155" t="s">
        <v>73</v>
      </c>
      <c r="H66" s="156">
        <v>41478</v>
      </c>
      <c r="I66" s="157">
        <v>1199.9999999999995</v>
      </c>
      <c r="K66"/>
    </row>
    <row r="67" spans="2:11" x14ac:dyDescent="0.2">
      <c r="B67" s="44" t="str">
        <f t="shared" si="4"/>
        <v>Far Wen</v>
      </c>
      <c r="C67" s="99" t="str">
        <f t="shared" si="5"/>
        <v>Corporate Sales</v>
      </c>
      <c r="D67" s="44" t="str">
        <f t="shared" si="3"/>
        <v>Far Wen</v>
      </c>
      <c r="E67" s="154">
        <v>22</v>
      </c>
      <c r="F67" s="44" t="str">
        <f t="shared" si="6"/>
        <v>School of the Environment</v>
      </c>
      <c r="G67" s="155" t="s">
        <v>69</v>
      </c>
      <c r="H67" s="156">
        <v>41473</v>
      </c>
      <c r="I67" s="157">
        <v>1350</v>
      </c>
      <c r="K67"/>
    </row>
    <row r="68" spans="2:11" x14ac:dyDescent="0.2">
      <c r="B68" s="44" t="str">
        <f t="shared" si="4"/>
        <v>Carolyn Roxby</v>
      </c>
      <c r="C68" s="99" t="str">
        <f t="shared" si="5"/>
        <v>Residential Sales</v>
      </c>
      <c r="D68" s="44" t="str">
        <f t="shared" si="3"/>
        <v/>
      </c>
      <c r="E68" s="154">
        <v>23</v>
      </c>
      <c r="F68" s="44" t="str">
        <f t="shared" si="6"/>
        <v>Marshall Furniture</v>
      </c>
      <c r="G68" s="155" t="s">
        <v>70</v>
      </c>
      <c r="H68" s="156">
        <v>41473</v>
      </c>
      <c r="I68" s="157">
        <v>1387.5</v>
      </c>
      <c r="K68"/>
    </row>
    <row r="69" spans="2:11" x14ac:dyDescent="0.2">
      <c r="B69" s="44" t="str">
        <f t="shared" si="4"/>
        <v>Angela Garcia</v>
      </c>
      <c r="C69" s="99" t="str">
        <f t="shared" si="5"/>
        <v>Walk-in Sales</v>
      </c>
      <c r="D69" s="44" t="str">
        <f t="shared" si="3"/>
        <v/>
      </c>
      <c r="E69" s="154">
        <v>24</v>
      </c>
      <c r="F69" s="44" t="str">
        <f t="shared" si="6"/>
        <v>Renfrow Printers &amp; Publishers</v>
      </c>
      <c r="G69" s="155" t="s">
        <v>72</v>
      </c>
      <c r="H69" s="156">
        <v>41474</v>
      </c>
      <c r="I69" s="157">
        <v>475.00000000000011</v>
      </c>
      <c r="K69"/>
    </row>
    <row r="70" spans="2:11" x14ac:dyDescent="0.2">
      <c r="B70" s="44" t="str">
        <f t="shared" si="4"/>
        <v>Angela Garcia</v>
      </c>
      <c r="C70" s="99" t="str">
        <f t="shared" si="5"/>
        <v>Walk-in Sales</v>
      </c>
      <c r="D70" s="44" t="str">
        <f t="shared" si="3"/>
        <v/>
      </c>
      <c r="E70" s="154">
        <v>24</v>
      </c>
      <c r="F70" s="44" t="str">
        <f t="shared" si="6"/>
        <v>Mack's Moving &amp; Storage</v>
      </c>
      <c r="G70" s="155" t="s">
        <v>75</v>
      </c>
      <c r="H70" s="156">
        <v>41475</v>
      </c>
      <c r="I70" s="157">
        <v>403.74999999999994</v>
      </c>
      <c r="K70"/>
    </row>
    <row r="71" spans="2:11" x14ac:dyDescent="0.2">
      <c r="B71" s="44" t="str">
        <f t="shared" si="4"/>
        <v>Tiffany Rifkin</v>
      </c>
      <c r="C71" s="99" t="str">
        <f t="shared" si="5"/>
        <v>Corporate Sales</v>
      </c>
      <c r="D71" s="44" t="str">
        <f t="shared" si="3"/>
        <v/>
      </c>
      <c r="E71" s="154">
        <v>25</v>
      </c>
      <c r="F71" s="44" t="str">
        <f t="shared" si="6"/>
        <v>Sanford Booksellers, Ltd.</v>
      </c>
      <c r="G71" s="155" t="s">
        <v>73</v>
      </c>
      <c r="H71" s="156">
        <v>41477</v>
      </c>
      <c r="I71" s="157">
        <v>749.99999999999989</v>
      </c>
      <c r="K71"/>
    </row>
    <row r="72" spans="2:11" x14ac:dyDescent="0.2">
      <c r="B72" s="44" t="str">
        <f t="shared" si="4"/>
        <v>Tiffany Rifkin</v>
      </c>
      <c r="C72" s="99" t="str">
        <f t="shared" si="5"/>
        <v>Corporate Sales</v>
      </c>
      <c r="D72" s="44" t="str">
        <f t="shared" si="3"/>
        <v/>
      </c>
      <c r="E72" s="154">
        <v>25</v>
      </c>
      <c r="F72" s="44" t="str">
        <f t="shared" si="6"/>
        <v>School of the Environment</v>
      </c>
      <c r="G72" s="155" t="s">
        <v>69</v>
      </c>
      <c r="H72" s="156">
        <v>41479</v>
      </c>
      <c r="I72" s="157">
        <v>749.99999999999989</v>
      </c>
      <c r="K72"/>
    </row>
    <row r="73" spans="2:11" x14ac:dyDescent="0.2">
      <c r="B73" s="44" t="str">
        <f t="shared" si="4"/>
        <v>Sam Carver</v>
      </c>
      <c r="C73" s="99" t="str">
        <f t="shared" si="5"/>
        <v>Residential Sales</v>
      </c>
      <c r="D73" s="44" t="str">
        <f t="shared" si="3"/>
        <v/>
      </c>
      <c r="E73" s="154">
        <v>26</v>
      </c>
      <c r="F73" s="44" t="str">
        <f t="shared" si="6"/>
        <v>Mallard &amp; Hernandez, Inc.</v>
      </c>
      <c r="G73" s="155" t="s">
        <v>74</v>
      </c>
      <c r="H73" s="156">
        <v>41483</v>
      </c>
      <c r="I73" s="157">
        <v>600.00000000000011</v>
      </c>
      <c r="K73"/>
    </row>
    <row r="74" spans="2:11" x14ac:dyDescent="0.2">
      <c r="B74" s="44" t="str">
        <f t="shared" ref="B74:B105" si="7">VLOOKUP(E74,Employees,2,0)</f>
        <v>Sam Carver</v>
      </c>
      <c r="C74" s="99" t="str">
        <f t="shared" ref="C74:C105" si="8">VLOOKUP(E74,Employees,3,0)</f>
        <v>Residential Sales</v>
      </c>
      <c r="D74" s="44" t="str">
        <f t="shared" si="3"/>
        <v/>
      </c>
      <c r="E74" s="154">
        <v>26</v>
      </c>
      <c r="F74" s="44" t="str">
        <f t="shared" ref="F74:F105" si="9">VLOOKUP(G74,Clients,2,0)</f>
        <v>Marshall Furniture</v>
      </c>
      <c r="G74" s="155" t="s">
        <v>70</v>
      </c>
      <c r="H74" s="156">
        <v>41484</v>
      </c>
      <c r="I74" s="157">
        <v>1387.4999999999998</v>
      </c>
      <c r="K74"/>
    </row>
    <row r="75" spans="2:11" x14ac:dyDescent="0.2">
      <c r="B75" s="44" t="str">
        <f t="shared" si="7"/>
        <v>Everett Ko</v>
      </c>
      <c r="C75" s="99" t="str">
        <f t="shared" si="8"/>
        <v>Walk-in Sales</v>
      </c>
      <c r="D75" s="44" t="str">
        <f t="shared" ref="D75:D111" si="10">IF(AND(C75 = "Corporate Sales",I75&gt;1000),B75,"")</f>
        <v/>
      </c>
      <c r="E75" s="154">
        <v>27</v>
      </c>
      <c r="F75" s="44" t="str">
        <f t="shared" si="9"/>
        <v>Renfrow Printers &amp; Publishers</v>
      </c>
      <c r="G75" s="155" t="s">
        <v>72</v>
      </c>
      <c r="H75" s="156">
        <v>41484</v>
      </c>
      <c r="I75" s="157">
        <v>262.49999999999989</v>
      </c>
      <c r="K75"/>
    </row>
    <row r="76" spans="2:11" x14ac:dyDescent="0.2">
      <c r="B76" s="44" t="str">
        <f t="shared" si="7"/>
        <v>Norman Hardison</v>
      </c>
      <c r="C76" s="99" t="str">
        <f t="shared" si="8"/>
        <v>Corporate Sales</v>
      </c>
      <c r="D76" s="44" t="str">
        <f t="shared" si="10"/>
        <v/>
      </c>
      <c r="E76" s="154">
        <v>28</v>
      </c>
      <c r="F76" s="44" t="str">
        <f t="shared" si="9"/>
        <v>Mack's Moving &amp; Storage</v>
      </c>
      <c r="G76" s="155" t="s">
        <v>75</v>
      </c>
      <c r="H76" s="156">
        <v>41484</v>
      </c>
      <c r="I76" s="157">
        <v>562.5</v>
      </c>
      <c r="K76"/>
    </row>
    <row r="77" spans="2:11" x14ac:dyDescent="0.2">
      <c r="B77" s="44" t="str">
        <f t="shared" si="7"/>
        <v>Norman Hardison</v>
      </c>
      <c r="C77" s="99" t="str">
        <f t="shared" si="8"/>
        <v>Corporate Sales</v>
      </c>
      <c r="D77" s="44" t="str">
        <f t="shared" si="10"/>
        <v/>
      </c>
      <c r="E77" s="154">
        <v>28</v>
      </c>
      <c r="F77" s="44" t="str">
        <f t="shared" si="9"/>
        <v>Sanford Booksellers, Ltd.</v>
      </c>
      <c r="G77" s="155" t="s">
        <v>73</v>
      </c>
      <c r="H77" s="156">
        <v>41485</v>
      </c>
      <c r="I77" s="157">
        <v>450</v>
      </c>
      <c r="K77"/>
    </row>
    <row r="78" spans="2:11" x14ac:dyDescent="0.2">
      <c r="B78" s="44" t="str">
        <f t="shared" si="7"/>
        <v>Pamela Buncombe</v>
      </c>
      <c r="C78" s="99" t="str">
        <f t="shared" si="8"/>
        <v>Residential Sales</v>
      </c>
      <c r="D78" s="44" t="str">
        <f t="shared" si="10"/>
        <v/>
      </c>
      <c r="E78" s="154">
        <v>29</v>
      </c>
      <c r="F78" s="44" t="str">
        <f t="shared" si="9"/>
        <v>School of the Environment</v>
      </c>
      <c r="G78" s="155" t="s">
        <v>69</v>
      </c>
      <c r="H78" s="156">
        <v>41473</v>
      </c>
      <c r="I78" s="157">
        <v>1450</v>
      </c>
      <c r="K78"/>
    </row>
    <row r="79" spans="2:11" x14ac:dyDescent="0.2">
      <c r="B79" s="44" t="str">
        <f t="shared" si="7"/>
        <v>Pamela Buncombe</v>
      </c>
      <c r="C79" s="99" t="str">
        <f t="shared" si="8"/>
        <v>Residential Sales</v>
      </c>
      <c r="D79" s="44" t="str">
        <f t="shared" si="10"/>
        <v/>
      </c>
      <c r="E79" s="154">
        <v>29</v>
      </c>
      <c r="F79" s="44" t="str">
        <f t="shared" si="9"/>
        <v>City of Morton, NC</v>
      </c>
      <c r="G79" s="155" t="s">
        <v>68</v>
      </c>
      <c r="H79" s="156">
        <v>41474</v>
      </c>
      <c r="I79" s="157">
        <v>600</v>
      </c>
      <c r="K79"/>
    </row>
    <row r="80" spans="2:11" x14ac:dyDescent="0.2">
      <c r="B80" s="44" t="str">
        <f t="shared" si="7"/>
        <v>Pamela Buncombe</v>
      </c>
      <c r="C80" s="99" t="str">
        <f t="shared" si="8"/>
        <v>Residential Sales</v>
      </c>
      <c r="D80" s="44" t="str">
        <f t="shared" si="10"/>
        <v/>
      </c>
      <c r="E80" s="154">
        <v>29</v>
      </c>
      <c r="F80" s="44" t="str">
        <f t="shared" si="9"/>
        <v>Rodriguez Catering</v>
      </c>
      <c r="G80" s="155" t="s">
        <v>76</v>
      </c>
      <c r="H80" s="156">
        <v>41484</v>
      </c>
      <c r="I80" s="157">
        <v>1899.9999999999984</v>
      </c>
      <c r="K80"/>
    </row>
    <row r="81" spans="2:11" x14ac:dyDescent="0.2">
      <c r="B81" s="44" t="str">
        <f t="shared" si="7"/>
        <v>Ardis Foxworth</v>
      </c>
      <c r="C81" s="99" t="str">
        <f t="shared" si="8"/>
        <v>Walk-in Sales</v>
      </c>
      <c r="D81" s="44" t="str">
        <f t="shared" si="10"/>
        <v/>
      </c>
      <c r="E81" s="154">
        <v>30</v>
      </c>
      <c r="F81" s="44" t="str">
        <f t="shared" si="9"/>
        <v>Mallard &amp; Hernandez, Inc.</v>
      </c>
      <c r="G81" s="155" t="s">
        <v>74</v>
      </c>
      <c r="H81" s="156">
        <v>41483</v>
      </c>
      <c r="I81" s="157">
        <v>650</v>
      </c>
      <c r="K81"/>
    </row>
    <row r="82" spans="2:11" x14ac:dyDescent="0.2">
      <c r="B82" s="44" t="str">
        <f t="shared" si="7"/>
        <v>Ardis Foxworth</v>
      </c>
      <c r="C82" s="99" t="str">
        <f t="shared" si="8"/>
        <v>Walk-in Sales</v>
      </c>
      <c r="D82" s="44" t="str">
        <f t="shared" si="10"/>
        <v/>
      </c>
      <c r="E82" s="154">
        <v>30</v>
      </c>
      <c r="F82" s="44" t="str">
        <f t="shared" si="9"/>
        <v>Marshall Furniture</v>
      </c>
      <c r="G82" s="155" t="s">
        <v>70</v>
      </c>
      <c r="H82" s="156">
        <v>41484</v>
      </c>
      <c r="I82" s="157">
        <v>1000</v>
      </c>
      <c r="K82"/>
    </row>
    <row r="83" spans="2:11" x14ac:dyDescent="0.2">
      <c r="B83" s="44" t="str">
        <f t="shared" si="7"/>
        <v>Bob Brickey</v>
      </c>
      <c r="C83" s="99" t="str">
        <f t="shared" si="8"/>
        <v>Corporate Sales</v>
      </c>
      <c r="D83" s="44" t="str">
        <f t="shared" si="10"/>
        <v>Bob Brickey</v>
      </c>
      <c r="E83" s="154">
        <v>31</v>
      </c>
      <c r="F83" s="44" t="str">
        <f t="shared" si="9"/>
        <v>Renfrow Printers &amp; Publishers</v>
      </c>
      <c r="G83" s="155" t="s">
        <v>72</v>
      </c>
      <c r="H83" s="156">
        <v>41471</v>
      </c>
      <c r="I83" s="157">
        <v>1125</v>
      </c>
      <c r="K83"/>
    </row>
    <row r="84" spans="2:11" x14ac:dyDescent="0.2">
      <c r="B84" s="44" t="str">
        <f t="shared" si="7"/>
        <v>Bob Brickey</v>
      </c>
      <c r="C84" s="99" t="str">
        <f t="shared" si="8"/>
        <v>Corporate Sales</v>
      </c>
      <c r="D84" s="44" t="str">
        <f t="shared" si="10"/>
        <v>Bob Brickey</v>
      </c>
      <c r="E84" s="154">
        <v>31</v>
      </c>
      <c r="F84" s="44" t="str">
        <f t="shared" si="9"/>
        <v>Mack's Moving &amp; Storage</v>
      </c>
      <c r="G84" s="155" t="s">
        <v>75</v>
      </c>
      <c r="H84" s="156">
        <v>41472</v>
      </c>
      <c r="I84" s="157">
        <v>1162.5</v>
      </c>
      <c r="K84"/>
    </row>
    <row r="85" spans="2:11" x14ac:dyDescent="0.2">
      <c r="B85" s="44" t="str">
        <f t="shared" si="7"/>
        <v>Casper Johnson</v>
      </c>
      <c r="C85" s="99" t="str">
        <f t="shared" si="8"/>
        <v>Residential Sales</v>
      </c>
      <c r="D85" s="44" t="str">
        <f t="shared" si="10"/>
        <v/>
      </c>
      <c r="E85" s="154">
        <v>32</v>
      </c>
      <c r="F85" s="44" t="str">
        <f t="shared" si="9"/>
        <v>Sanford Booksellers, Ltd.</v>
      </c>
      <c r="G85" s="155" t="s">
        <v>73</v>
      </c>
      <c r="H85" s="156">
        <v>41473</v>
      </c>
      <c r="I85" s="157">
        <v>1282.5</v>
      </c>
      <c r="K85"/>
    </row>
    <row r="86" spans="2:11" x14ac:dyDescent="0.2">
      <c r="B86" s="44" t="str">
        <f t="shared" si="7"/>
        <v>Steven Galloway</v>
      </c>
      <c r="C86" s="99" t="str">
        <f t="shared" si="8"/>
        <v>Walk-in Sales</v>
      </c>
      <c r="D86" s="44" t="str">
        <f t="shared" si="10"/>
        <v/>
      </c>
      <c r="E86" s="154">
        <v>33</v>
      </c>
      <c r="F86" s="44" t="str">
        <f t="shared" si="9"/>
        <v>City of Morton, NC</v>
      </c>
      <c r="G86" s="155" t="s">
        <v>68</v>
      </c>
      <c r="H86" s="156">
        <v>41477</v>
      </c>
      <c r="I86" s="157">
        <v>2499.9999999999982</v>
      </c>
      <c r="K86"/>
    </row>
    <row r="87" spans="2:11" x14ac:dyDescent="0.2">
      <c r="B87" s="44" t="str">
        <f t="shared" si="7"/>
        <v>Steven Galloway</v>
      </c>
      <c r="C87" s="99" t="str">
        <f t="shared" si="8"/>
        <v>Walk-in Sales</v>
      </c>
      <c r="D87" s="44" t="str">
        <f t="shared" si="10"/>
        <v/>
      </c>
      <c r="E87" s="154">
        <v>33</v>
      </c>
      <c r="F87" s="44" t="str">
        <f t="shared" si="9"/>
        <v>Rodriguez Catering</v>
      </c>
      <c r="G87" s="155" t="s">
        <v>76</v>
      </c>
      <c r="H87" s="156">
        <v>41478</v>
      </c>
      <c r="I87" s="157">
        <v>1800.0000000000005</v>
      </c>
      <c r="K87"/>
    </row>
    <row r="88" spans="2:11" x14ac:dyDescent="0.2">
      <c r="B88" s="44" t="str">
        <f t="shared" si="7"/>
        <v>Steven Galloway</v>
      </c>
      <c r="C88" s="99" t="str">
        <f t="shared" si="8"/>
        <v>Walk-in Sales</v>
      </c>
      <c r="D88" s="44" t="str">
        <f t="shared" si="10"/>
        <v/>
      </c>
      <c r="E88" s="154">
        <v>33</v>
      </c>
      <c r="F88" s="44" t="str">
        <f t="shared" si="9"/>
        <v>Mallard &amp; Hernandez, Inc.</v>
      </c>
      <c r="G88" s="155" t="s">
        <v>74</v>
      </c>
      <c r="H88" s="156">
        <v>41482</v>
      </c>
      <c r="I88" s="157">
        <v>2000.0000000000002</v>
      </c>
      <c r="K88"/>
    </row>
    <row r="89" spans="2:11" x14ac:dyDescent="0.2">
      <c r="B89" s="44" t="str">
        <f t="shared" si="7"/>
        <v>Steven Galloway</v>
      </c>
      <c r="C89" s="99" t="str">
        <f t="shared" si="8"/>
        <v>Walk-in Sales</v>
      </c>
      <c r="D89" s="44" t="str">
        <f t="shared" si="10"/>
        <v/>
      </c>
      <c r="E89" s="154">
        <v>33</v>
      </c>
      <c r="F89" s="44" t="str">
        <f t="shared" si="9"/>
        <v>Marshall Furniture</v>
      </c>
      <c r="G89" s="155" t="s">
        <v>70</v>
      </c>
      <c r="H89" s="156">
        <v>41483</v>
      </c>
      <c r="I89" s="157">
        <v>2050</v>
      </c>
      <c r="K89"/>
    </row>
    <row r="90" spans="2:11" x14ac:dyDescent="0.2">
      <c r="B90" s="44" t="str">
        <f t="shared" si="7"/>
        <v>Steven Galloway</v>
      </c>
      <c r="C90" s="99" t="str">
        <f t="shared" si="8"/>
        <v>Walk-in Sales</v>
      </c>
      <c r="D90" s="44" t="str">
        <f t="shared" si="10"/>
        <v/>
      </c>
      <c r="E90" s="154">
        <v>33</v>
      </c>
      <c r="F90" s="44" t="str">
        <f t="shared" si="9"/>
        <v>Renfrow Printers &amp; Publishers</v>
      </c>
      <c r="G90" s="155" t="s">
        <v>72</v>
      </c>
      <c r="H90" s="156">
        <v>41484</v>
      </c>
      <c r="I90" s="157">
        <v>1850.0000000000002</v>
      </c>
      <c r="K90"/>
    </row>
    <row r="91" spans="2:11" x14ac:dyDescent="0.2">
      <c r="B91" s="44" t="str">
        <f t="shared" si="7"/>
        <v>Steven Galloway</v>
      </c>
      <c r="C91" s="99" t="str">
        <f t="shared" si="8"/>
        <v>Walk-in Sales</v>
      </c>
      <c r="D91" s="44" t="str">
        <f t="shared" si="10"/>
        <v/>
      </c>
      <c r="E91" s="154">
        <v>33</v>
      </c>
      <c r="F91" s="44" t="str">
        <f t="shared" si="9"/>
        <v>Mack's Moving &amp; Storage</v>
      </c>
      <c r="G91" s="155" t="s">
        <v>75</v>
      </c>
      <c r="H91" s="156">
        <v>41486</v>
      </c>
      <c r="I91" s="157">
        <v>1800</v>
      </c>
      <c r="K91"/>
    </row>
    <row r="92" spans="2:11" x14ac:dyDescent="0.2">
      <c r="B92" s="44" t="str">
        <f t="shared" si="7"/>
        <v>Peter Walton</v>
      </c>
      <c r="C92" s="99" t="str">
        <f t="shared" si="8"/>
        <v>Corporate Sales</v>
      </c>
      <c r="D92" s="44" t="str">
        <f t="shared" si="10"/>
        <v>Peter Walton</v>
      </c>
      <c r="E92" s="154">
        <v>34</v>
      </c>
      <c r="F92" s="44" t="str">
        <f t="shared" si="9"/>
        <v>Sanford Booksellers, Ltd.</v>
      </c>
      <c r="G92" s="155" t="s">
        <v>73</v>
      </c>
      <c r="H92" s="156">
        <v>41467</v>
      </c>
      <c r="I92" s="157">
        <v>2400</v>
      </c>
      <c r="K92"/>
    </row>
    <row r="93" spans="2:11" x14ac:dyDescent="0.2">
      <c r="B93" s="44" t="str">
        <f t="shared" si="7"/>
        <v>Peter Walton</v>
      </c>
      <c r="C93" s="99" t="str">
        <f t="shared" si="8"/>
        <v>Corporate Sales</v>
      </c>
      <c r="D93" s="44" t="str">
        <f t="shared" si="10"/>
        <v>Peter Walton</v>
      </c>
      <c r="E93" s="154">
        <v>34</v>
      </c>
      <c r="F93" s="44" t="str">
        <f t="shared" si="9"/>
        <v>School of the Environment</v>
      </c>
      <c r="G93" s="155" t="s">
        <v>69</v>
      </c>
      <c r="H93" s="156">
        <v>41468</v>
      </c>
      <c r="I93" s="157">
        <v>2400</v>
      </c>
      <c r="K93"/>
    </row>
    <row r="94" spans="2:11" x14ac:dyDescent="0.2">
      <c r="B94" s="44" t="str">
        <f t="shared" si="7"/>
        <v>Peter Walton</v>
      </c>
      <c r="C94" s="99" t="str">
        <f t="shared" si="8"/>
        <v>Corporate Sales</v>
      </c>
      <c r="D94" s="44" t="str">
        <f t="shared" si="10"/>
        <v>Peter Walton</v>
      </c>
      <c r="E94" s="154">
        <v>34</v>
      </c>
      <c r="F94" s="44" t="str">
        <f t="shared" si="9"/>
        <v>Tandy's, Inc.</v>
      </c>
      <c r="G94" s="155" t="s">
        <v>71</v>
      </c>
      <c r="H94" s="156">
        <v>41469</v>
      </c>
      <c r="I94" s="157">
        <v>2600</v>
      </c>
      <c r="K94"/>
    </row>
    <row r="95" spans="2:11" x14ac:dyDescent="0.2">
      <c r="B95" s="44" t="str">
        <f t="shared" si="7"/>
        <v>Peter Walton</v>
      </c>
      <c r="C95" s="99" t="str">
        <f t="shared" si="8"/>
        <v>Corporate Sales</v>
      </c>
      <c r="D95" s="44" t="str">
        <f t="shared" si="10"/>
        <v>Peter Walton</v>
      </c>
      <c r="E95" s="154">
        <v>34</v>
      </c>
      <c r="F95" s="44" t="str">
        <f t="shared" si="9"/>
        <v>Wardell, Mingus, and Krenshaw</v>
      </c>
      <c r="G95" s="155" t="s">
        <v>67</v>
      </c>
      <c r="H95" s="156">
        <v>41485</v>
      </c>
      <c r="I95" s="157">
        <v>1099.9999999999986</v>
      </c>
      <c r="K95"/>
    </row>
    <row r="96" spans="2:11" x14ac:dyDescent="0.2">
      <c r="B96" s="44" t="str">
        <f t="shared" si="7"/>
        <v>Peter Walton</v>
      </c>
      <c r="C96" s="99" t="str">
        <f t="shared" si="8"/>
        <v>Corporate Sales</v>
      </c>
      <c r="D96" s="44" t="str">
        <f t="shared" si="10"/>
        <v/>
      </c>
      <c r="E96" s="154">
        <v>34</v>
      </c>
      <c r="F96" s="44" t="str">
        <f t="shared" si="9"/>
        <v>Marshall Furniture</v>
      </c>
      <c r="G96" s="155" t="s">
        <v>70</v>
      </c>
      <c r="H96" s="156">
        <v>41486</v>
      </c>
      <c r="I96" s="157">
        <v>400.00000000000023</v>
      </c>
      <c r="K96"/>
    </row>
    <row r="97" spans="2:11" x14ac:dyDescent="0.2">
      <c r="B97" s="44" t="str">
        <f t="shared" si="7"/>
        <v>Linda Huff</v>
      </c>
      <c r="C97" s="99" t="str">
        <f t="shared" si="8"/>
        <v>Residential Sales</v>
      </c>
      <c r="D97" s="44" t="str">
        <f t="shared" si="10"/>
        <v/>
      </c>
      <c r="E97" s="154">
        <v>35</v>
      </c>
      <c r="F97" s="44" t="str">
        <f t="shared" si="9"/>
        <v>Renfrow Printers &amp; Publishers</v>
      </c>
      <c r="G97" s="155" t="s">
        <v>72</v>
      </c>
      <c r="H97" s="156">
        <v>41465</v>
      </c>
      <c r="I97" s="157">
        <v>1049.9999999999998</v>
      </c>
      <c r="K97"/>
    </row>
    <row r="98" spans="2:11" x14ac:dyDescent="0.2">
      <c r="B98" s="44" t="str">
        <f t="shared" si="7"/>
        <v>Linda Huff</v>
      </c>
      <c r="C98" s="99" t="str">
        <f t="shared" si="8"/>
        <v>Residential Sales</v>
      </c>
      <c r="D98" s="44" t="str">
        <f t="shared" si="10"/>
        <v/>
      </c>
      <c r="E98" s="154">
        <v>35</v>
      </c>
      <c r="F98" s="44" t="str">
        <f t="shared" si="9"/>
        <v>Mack's Moving &amp; Storage</v>
      </c>
      <c r="G98" s="155" t="s">
        <v>75</v>
      </c>
      <c r="H98" s="156">
        <v>41467</v>
      </c>
      <c r="I98" s="157">
        <v>450</v>
      </c>
      <c r="K98"/>
    </row>
    <row r="99" spans="2:11" x14ac:dyDescent="0.2">
      <c r="B99" s="44" t="str">
        <f t="shared" si="7"/>
        <v>Gary Seamans</v>
      </c>
      <c r="C99" s="99" t="str">
        <f t="shared" si="8"/>
        <v>Walk-in Sales</v>
      </c>
      <c r="D99" s="44" t="str">
        <f t="shared" si="10"/>
        <v/>
      </c>
      <c r="E99" s="154">
        <v>36</v>
      </c>
      <c r="F99" s="44" t="str">
        <f t="shared" si="9"/>
        <v>Sanford Booksellers, Ltd.</v>
      </c>
      <c r="G99" s="155" t="s">
        <v>73</v>
      </c>
      <c r="H99" s="156">
        <v>41469</v>
      </c>
      <c r="I99" s="157">
        <v>600.00000000000011</v>
      </c>
      <c r="K99"/>
    </row>
    <row r="100" spans="2:11" x14ac:dyDescent="0.2">
      <c r="B100" s="44" t="str">
        <f t="shared" si="7"/>
        <v>Gary Seamans</v>
      </c>
      <c r="C100" s="99" t="str">
        <f t="shared" si="8"/>
        <v>Walk-in Sales</v>
      </c>
      <c r="D100" s="44" t="str">
        <f t="shared" si="10"/>
        <v/>
      </c>
      <c r="E100" s="154">
        <v>36</v>
      </c>
      <c r="F100" s="44" t="str">
        <f t="shared" si="9"/>
        <v>School of the Environment</v>
      </c>
      <c r="G100" s="155" t="s">
        <v>69</v>
      </c>
      <c r="H100" s="156">
        <v>41472</v>
      </c>
      <c r="I100" s="157">
        <v>1124.9999999999998</v>
      </c>
      <c r="K100"/>
    </row>
    <row r="101" spans="2:11" x14ac:dyDescent="0.2">
      <c r="B101" s="44" t="str">
        <f t="shared" si="7"/>
        <v>Gary Seamans</v>
      </c>
      <c r="C101" s="99" t="str">
        <f t="shared" si="8"/>
        <v>Walk-in Sales</v>
      </c>
      <c r="D101" s="44" t="str">
        <f t="shared" si="10"/>
        <v/>
      </c>
      <c r="E101" s="154">
        <v>36</v>
      </c>
      <c r="F101" s="44" t="str">
        <f t="shared" si="9"/>
        <v>Mack's Moving &amp; Storage</v>
      </c>
      <c r="G101" s="155" t="s">
        <v>75</v>
      </c>
      <c r="H101" s="156">
        <v>41473</v>
      </c>
      <c r="I101" s="157">
        <v>1350.0000000000002</v>
      </c>
      <c r="K101"/>
    </row>
    <row r="102" spans="2:11" x14ac:dyDescent="0.2">
      <c r="B102" s="44" t="str">
        <f t="shared" si="7"/>
        <v>Gary Seamans</v>
      </c>
      <c r="C102" s="99" t="str">
        <f t="shared" si="8"/>
        <v>Walk-in Sales</v>
      </c>
      <c r="D102" s="44" t="str">
        <f t="shared" si="10"/>
        <v/>
      </c>
      <c r="E102" s="154">
        <v>36</v>
      </c>
      <c r="F102" s="44" t="str">
        <f t="shared" si="9"/>
        <v>Sanford Booksellers, Ltd.</v>
      </c>
      <c r="G102" s="155" t="s">
        <v>73</v>
      </c>
      <c r="H102" s="156">
        <v>41475</v>
      </c>
      <c r="I102" s="157">
        <v>1425</v>
      </c>
      <c r="K102"/>
    </row>
    <row r="103" spans="2:11" x14ac:dyDescent="0.2">
      <c r="B103" s="44" t="str">
        <f t="shared" si="7"/>
        <v>Gary Seamans</v>
      </c>
      <c r="C103" s="99" t="str">
        <f t="shared" si="8"/>
        <v>Walk-in Sales</v>
      </c>
      <c r="D103" s="44" t="str">
        <f t="shared" si="10"/>
        <v/>
      </c>
      <c r="E103" s="154">
        <v>36</v>
      </c>
      <c r="F103" s="44" t="str">
        <f t="shared" si="9"/>
        <v>School of the Environment</v>
      </c>
      <c r="G103" s="155" t="s">
        <v>69</v>
      </c>
      <c r="H103" s="156">
        <v>41476</v>
      </c>
      <c r="I103" s="157">
        <v>1237.5</v>
      </c>
      <c r="K103"/>
    </row>
    <row r="104" spans="2:11" x14ac:dyDescent="0.2">
      <c r="B104" s="44" t="str">
        <f t="shared" si="7"/>
        <v>Jose Naron</v>
      </c>
      <c r="C104" s="99" t="str">
        <f t="shared" si="8"/>
        <v>Corporate Sales</v>
      </c>
      <c r="D104" s="44" t="str">
        <f t="shared" si="10"/>
        <v>Jose Naron</v>
      </c>
      <c r="E104" s="154">
        <v>37</v>
      </c>
      <c r="F104" s="44" t="str">
        <f t="shared" si="9"/>
        <v>City of Morton, NC</v>
      </c>
      <c r="G104" s="155" t="s">
        <v>68</v>
      </c>
      <c r="H104" s="156">
        <v>41473</v>
      </c>
      <c r="I104" s="157">
        <v>1599.9999999999984</v>
      </c>
      <c r="K104"/>
    </row>
    <row r="105" spans="2:11" x14ac:dyDescent="0.2">
      <c r="B105" s="44" t="str">
        <f t="shared" si="7"/>
        <v>Jose Naron</v>
      </c>
      <c r="C105" s="99" t="str">
        <f t="shared" si="8"/>
        <v>Corporate Sales</v>
      </c>
      <c r="D105" s="44" t="str">
        <f t="shared" si="10"/>
        <v>Jose Naron</v>
      </c>
      <c r="E105" s="154">
        <v>37</v>
      </c>
      <c r="F105" s="44" t="str">
        <f t="shared" si="9"/>
        <v>Rodriguez Catering</v>
      </c>
      <c r="G105" s="155" t="s">
        <v>76</v>
      </c>
      <c r="H105" s="156">
        <v>41474</v>
      </c>
      <c r="I105" s="157">
        <v>2699.9999999999982</v>
      </c>
      <c r="K105"/>
    </row>
    <row r="106" spans="2:11" x14ac:dyDescent="0.2">
      <c r="B106" s="44" t="str">
        <f t="shared" ref="B106:B111" si="11">VLOOKUP(E106,Employees,2,0)</f>
        <v>Anne Neville</v>
      </c>
      <c r="C106" s="99" t="str">
        <f t="shared" ref="C106:C111" si="12">VLOOKUP(E106,Employees,3,0)</f>
        <v>Residential Sales</v>
      </c>
      <c r="D106" s="44" t="str">
        <f t="shared" si="10"/>
        <v/>
      </c>
      <c r="E106" s="154">
        <v>38</v>
      </c>
      <c r="F106" s="44" t="str">
        <f t="shared" ref="F106:F111" si="13">VLOOKUP(G106,Clients,2,0)</f>
        <v>Mallard &amp; Hernandez, Inc.</v>
      </c>
      <c r="G106" s="155" t="s">
        <v>74</v>
      </c>
      <c r="H106" s="156">
        <v>41482</v>
      </c>
      <c r="I106" s="157">
        <v>2499.9999999999982</v>
      </c>
      <c r="K106"/>
    </row>
    <row r="107" spans="2:11" x14ac:dyDescent="0.2">
      <c r="B107" s="44" t="str">
        <f t="shared" si="11"/>
        <v>Anne Neville</v>
      </c>
      <c r="C107" s="99" t="str">
        <f t="shared" si="12"/>
        <v>Residential Sales</v>
      </c>
      <c r="D107" s="44" t="str">
        <f t="shared" si="10"/>
        <v/>
      </c>
      <c r="E107" s="154">
        <v>38</v>
      </c>
      <c r="F107" s="44" t="str">
        <f t="shared" si="13"/>
        <v>Marshall Furniture</v>
      </c>
      <c r="G107" s="155" t="s">
        <v>70</v>
      </c>
      <c r="H107" s="156">
        <v>41481</v>
      </c>
      <c r="I107" s="157">
        <v>1000.0000000000001</v>
      </c>
      <c r="K107"/>
    </row>
    <row r="108" spans="2:11" x14ac:dyDescent="0.2">
      <c r="B108" s="44" t="str">
        <f t="shared" si="11"/>
        <v>Terri Rorick</v>
      </c>
      <c r="C108" s="99" t="str">
        <f t="shared" si="12"/>
        <v>Walk-in Sales</v>
      </c>
      <c r="D108" s="44" t="str">
        <f t="shared" si="10"/>
        <v/>
      </c>
      <c r="E108" s="154">
        <v>39</v>
      </c>
      <c r="F108" s="44" t="str">
        <f t="shared" si="13"/>
        <v>Renfrow Printers &amp; Publishers</v>
      </c>
      <c r="G108" s="155" t="s">
        <v>72</v>
      </c>
      <c r="H108" s="156">
        <v>41483</v>
      </c>
      <c r="I108" s="157">
        <v>475.00000000000011</v>
      </c>
      <c r="K108"/>
    </row>
    <row r="109" spans="2:11" x14ac:dyDescent="0.2">
      <c r="B109" s="44" t="str">
        <f t="shared" si="11"/>
        <v>Terri Rorick</v>
      </c>
      <c r="C109" s="99" t="str">
        <f t="shared" si="12"/>
        <v>Walk-in Sales</v>
      </c>
      <c r="D109" s="44" t="str">
        <f t="shared" si="10"/>
        <v/>
      </c>
      <c r="E109" s="154">
        <v>39</v>
      </c>
      <c r="F109" s="44" t="str">
        <f t="shared" si="13"/>
        <v>Mack's Moving &amp; Storage</v>
      </c>
      <c r="G109" s="155" t="s">
        <v>75</v>
      </c>
      <c r="H109" s="156">
        <v>41486</v>
      </c>
      <c r="I109" s="157">
        <v>285</v>
      </c>
      <c r="K109"/>
    </row>
    <row r="110" spans="2:11" x14ac:dyDescent="0.2">
      <c r="B110" s="44" t="str">
        <f t="shared" si="11"/>
        <v>Renee Kringle</v>
      </c>
      <c r="C110" s="99" t="str">
        <f t="shared" si="12"/>
        <v>Corporate Sales</v>
      </c>
      <c r="D110" s="44" t="str">
        <f t="shared" si="10"/>
        <v/>
      </c>
      <c r="E110" s="154">
        <v>40</v>
      </c>
      <c r="F110" s="44" t="str">
        <f t="shared" si="13"/>
        <v>Sanford Booksellers, Ltd.</v>
      </c>
      <c r="G110" s="155" t="s">
        <v>73</v>
      </c>
      <c r="H110" s="156">
        <v>41457</v>
      </c>
      <c r="I110" s="157">
        <v>299.99999999999977</v>
      </c>
      <c r="K110"/>
    </row>
    <row r="111" spans="2:11" x14ac:dyDescent="0.2">
      <c r="B111" s="44" t="str">
        <f t="shared" si="11"/>
        <v>Renee Kringle</v>
      </c>
      <c r="C111" s="99" t="str">
        <f t="shared" si="12"/>
        <v>Corporate Sales</v>
      </c>
      <c r="D111" s="44" t="str">
        <f t="shared" si="10"/>
        <v/>
      </c>
      <c r="E111" s="154">
        <v>40</v>
      </c>
      <c r="F111" s="44" t="str">
        <f t="shared" si="13"/>
        <v>School of the Environment</v>
      </c>
      <c r="G111" s="155" t="s">
        <v>69</v>
      </c>
      <c r="H111" s="156">
        <v>41473</v>
      </c>
      <c r="I111" s="157">
        <v>600.00000000000011</v>
      </c>
      <c r="K111"/>
    </row>
    <row r="112" spans="2:11" x14ac:dyDescent="0.2">
      <c r="B112" s="21"/>
      <c r="C112" s="21"/>
      <c r="D112" s="21"/>
      <c r="E112" s="21"/>
      <c r="F112" s="21"/>
      <c r="G112" s="21"/>
      <c r="H112" s="21"/>
      <c r="I112" s="158"/>
    </row>
    <row r="113" spans="2:9" x14ac:dyDescent="0.2">
      <c r="B113" s="21"/>
      <c r="C113" s="21"/>
      <c r="D113" s="21"/>
      <c r="E113" s="21"/>
      <c r="F113" s="21"/>
      <c r="G113" s="21"/>
      <c r="H113" s="21"/>
      <c r="I113" s="21"/>
    </row>
    <row r="114" spans="2:9" x14ac:dyDescent="0.2">
      <c r="B114" s="21"/>
      <c r="C114" s="21"/>
      <c r="D114" s="21"/>
      <c r="E114" s="21"/>
      <c r="F114" s="21"/>
      <c r="G114" s="21"/>
      <c r="H114" s="21"/>
      <c r="I114" s="21"/>
    </row>
    <row r="115" spans="2:9" x14ac:dyDescent="0.2">
      <c r="B115" s="21"/>
      <c r="C115" s="21"/>
      <c r="D115" s="21"/>
      <c r="E115" s="21"/>
      <c r="F115" s="21"/>
      <c r="G115" s="21"/>
      <c r="H115" s="21"/>
      <c r="I115" s="21"/>
    </row>
    <row r="116" spans="2:9" x14ac:dyDescent="0.2">
      <c r="B116" s="21"/>
      <c r="C116" s="21"/>
      <c r="D116" s="21"/>
      <c r="E116" s="21"/>
      <c r="F116" s="21"/>
      <c r="G116" s="21"/>
      <c r="H116" s="21"/>
      <c r="I116" s="21"/>
    </row>
    <row r="117" spans="2:9" x14ac:dyDescent="0.2">
      <c r="B117" s="21"/>
      <c r="C117" s="21"/>
      <c r="D117" s="21"/>
      <c r="E117" s="21"/>
      <c r="F117" s="21"/>
      <c r="G117" s="21"/>
      <c r="H117" s="21"/>
      <c r="I117" s="21"/>
    </row>
    <row r="118" spans="2:9" x14ac:dyDescent="0.2">
      <c r="B118" s="21"/>
      <c r="C118" s="21"/>
      <c r="D118" s="21"/>
      <c r="E118" s="21"/>
      <c r="F118" s="21"/>
      <c r="G118" s="21"/>
      <c r="H118" s="21"/>
      <c r="I118" s="21"/>
    </row>
    <row r="119" spans="2:9" x14ac:dyDescent="0.2">
      <c r="B119" s="21"/>
      <c r="C119" s="21"/>
      <c r="D119" s="21"/>
      <c r="E119" s="21"/>
      <c r="F119" s="21"/>
      <c r="G119" s="21"/>
      <c r="H119" s="21"/>
      <c r="I119" s="21"/>
    </row>
    <row r="120" spans="2:9" x14ac:dyDescent="0.2">
      <c r="B120" s="21"/>
      <c r="C120" s="21"/>
      <c r="D120" s="21"/>
      <c r="E120" s="21"/>
      <c r="F120" s="21"/>
      <c r="G120" s="21"/>
      <c r="H120" s="21"/>
      <c r="I120" s="21"/>
    </row>
    <row r="121" spans="2:9" x14ac:dyDescent="0.2">
      <c r="B121" s="21"/>
      <c r="C121" s="21"/>
      <c r="D121" s="21"/>
      <c r="E121" s="21"/>
      <c r="F121" s="21"/>
      <c r="G121" s="21"/>
      <c r="H121" s="21"/>
      <c r="I121" s="21"/>
    </row>
    <row r="122" spans="2:9" x14ac:dyDescent="0.2">
      <c r="B122" s="21"/>
      <c r="C122" s="21"/>
      <c r="D122" s="21"/>
      <c r="E122" s="21"/>
      <c r="F122" s="21"/>
      <c r="G122" s="21"/>
      <c r="H122" s="21"/>
      <c r="I122" s="21"/>
    </row>
    <row r="123" spans="2:9" x14ac:dyDescent="0.2">
      <c r="B123" s="21"/>
      <c r="C123" s="21"/>
      <c r="D123" s="21"/>
      <c r="E123" s="21"/>
      <c r="F123" s="21"/>
      <c r="G123" s="21"/>
      <c r="H123" s="21"/>
      <c r="I123" s="21"/>
    </row>
    <row r="124" spans="2:9" x14ac:dyDescent="0.2">
      <c r="B124" s="21"/>
      <c r="C124" s="21"/>
      <c r="D124" s="21"/>
      <c r="E124" s="21"/>
      <c r="F124" s="21"/>
      <c r="G124" s="21"/>
      <c r="H124" s="21"/>
      <c r="I124" s="21"/>
    </row>
    <row r="125" spans="2:9" x14ac:dyDescent="0.2">
      <c r="B125" s="21"/>
      <c r="C125" s="21"/>
      <c r="D125" s="21"/>
      <c r="E125" s="21"/>
      <c r="F125" s="21"/>
      <c r="G125" s="21"/>
      <c r="H125" s="21"/>
      <c r="I125" s="21"/>
    </row>
    <row r="126" spans="2:9" x14ac:dyDescent="0.2">
      <c r="B126" s="21"/>
      <c r="C126" s="21"/>
      <c r="D126" s="21"/>
      <c r="E126" s="21"/>
      <c r="F126" s="21"/>
      <c r="G126" s="21"/>
      <c r="H126" s="21"/>
      <c r="I126" s="21"/>
    </row>
    <row r="127" spans="2:9" x14ac:dyDescent="0.2">
      <c r="B127" s="21"/>
      <c r="C127" s="21"/>
      <c r="D127" s="21"/>
      <c r="E127" s="21"/>
      <c r="F127" s="21"/>
      <c r="G127" s="21"/>
      <c r="H127" s="21"/>
      <c r="I127" s="21"/>
    </row>
    <row r="128" spans="2:9" x14ac:dyDescent="0.2">
      <c r="B128" s="21"/>
      <c r="C128" s="21"/>
      <c r="D128" s="21"/>
      <c r="E128" s="21"/>
      <c r="F128" s="21"/>
      <c r="G128" s="21"/>
      <c r="H128" s="21"/>
      <c r="I128" s="21"/>
    </row>
    <row r="129" spans="2:9" x14ac:dyDescent="0.2">
      <c r="B129" s="21"/>
      <c r="C129" s="21"/>
      <c r="D129" s="21"/>
      <c r="E129" s="21"/>
      <c r="F129" s="21"/>
      <c r="G129" s="21"/>
      <c r="H129" s="21"/>
      <c r="I129" s="21"/>
    </row>
    <row r="130" spans="2:9" x14ac:dyDescent="0.2">
      <c r="B130" s="21"/>
      <c r="C130" s="21"/>
      <c r="D130" s="21"/>
      <c r="E130" s="21"/>
      <c r="F130" s="21"/>
      <c r="G130" s="21"/>
      <c r="H130" s="21"/>
      <c r="I130" s="21"/>
    </row>
    <row r="131" spans="2:9" x14ac:dyDescent="0.2">
      <c r="B131" s="21"/>
      <c r="C131" s="21"/>
      <c r="D131" s="21"/>
      <c r="E131" s="21"/>
      <c r="F131" s="21"/>
      <c r="G131" s="21"/>
      <c r="H131" s="21"/>
      <c r="I131" s="21"/>
    </row>
    <row r="132" spans="2:9" x14ac:dyDescent="0.2">
      <c r="B132" s="21"/>
      <c r="C132" s="21"/>
      <c r="D132" s="21"/>
      <c r="E132" s="21"/>
      <c r="F132" s="21"/>
      <c r="G132" s="21"/>
      <c r="H132" s="21"/>
      <c r="I132" s="21"/>
    </row>
    <row r="133" spans="2:9" x14ac:dyDescent="0.2">
      <c r="B133" s="21"/>
      <c r="C133" s="21"/>
      <c r="D133" s="21"/>
      <c r="E133" s="21"/>
      <c r="F133" s="21"/>
      <c r="G133" s="21"/>
      <c r="H133" s="21"/>
      <c r="I133" s="21"/>
    </row>
  </sheetData>
  <autoFilter ref="B9:I111"/>
  <mergeCells count="3">
    <mergeCell ref="B6:I6"/>
    <mergeCell ref="B7:I7"/>
    <mergeCell ref="D2:E3"/>
  </mergeCells>
  <pageMargins left="0.75" right="0.75" top="1" bottom="1" header="0.5" footer="0.5"/>
  <pageSetup orientation="landscape" horizontalDpi="4294967292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2:J31"/>
  <sheetViews>
    <sheetView showGridLines="0" topLeftCell="A4" zoomScaleNormal="100" workbookViewId="0">
      <selection activeCell="A4" sqref="A4"/>
    </sheetView>
  </sheetViews>
  <sheetFormatPr defaultColWidth="9" defaultRowHeight="14.25" outlineLevelRow="2" x14ac:dyDescent="0.2"/>
  <cols>
    <col min="1" max="1" width="7.5" style="31" customWidth="1"/>
    <col min="2" max="2" width="22.25" style="31" customWidth="1"/>
    <col min="3" max="3" width="11.625" style="31" customWidth="1"/>
    <col min="4" max="4" width="22.25" style="31" customWidth="1"/>
    <col min="5" max="5" width="17.125" style="31" customWidth="1"/>
    <col min="6" max="6" width="14.625" style="31" customWidth="1"/>
    <col min="7" max="7" width="12.5" style="31" customWidth="1"/>
    <col min="8" max="8" width="9" style="31"/>
    <col min="9" max="9" width="19.625" style="31" bestFit="1" customWidth="1"/>
    <col min="10" max="10" width="13.25" style="31" bestFit="1" customWidth="1"/>
    <col min="11" max="11" width="9" style="31"/>
    <col min="12" max="12" width="22.25" style="31" bestFit="1" customWidth="1"/>
    <col min="13" max="16384" width="9" style="31"/>
  </cols>
  <sheetData>
    <row r="2" spans="2:10" ht="15" x14ac:dyDescent="0.25">
      <c r="B2" s="34"/>
    </row>
    <row r="3" spans="2:10" ht="15" x14ac:dyDescent="0.25">
      <c r="B3" s="34" t="s">
        <v>111</v>
      </c>
    </row>
    <row r="4" spans="2:10" x14ac:dyDescent="0.2">
      <c r="I4"/>
    </row>
    <row r="5" spans="2:10" ht="15" thickBot="1" x14ac:dyDescent="0.25"/>
    <row r="6" spans="2:10" ht="97.5" customHeight="1" x14ac:dyDescent="0.2">
      <c r="B6" s="211" t="s">
        <v>216</v>
      </c>
      <c r="C6" s="213"/>
      <c r="D6" s="213"/>
      <c r="E6" s="213"/>
      <c r="F6" s="213"/>
      <c r="G6" s="214"/>
    </row>
    <row r="7" spans="2:10" ht="15.75" customHeight="1" x14ac:dyDescent="0.2">
      <c r="B7" s="215">
        <f ca="1">NOW()</f>
        <v>44324.256513194443</v>
      </c>
      <c r="C7" s="216"/>
      <c r="D7" s="216"/>
      <c r="E7" s="216"/>
      <c r="F7" s="216"/>
      <c r="G7" s="217"/>
      <c r="I7"/>
      <c r="J7"/>
    </row>
    <row r="8" spans="2:10" ht="15" thickBot="1" x14ac:dyDescent="0.25">
      <c r="B8" s="56"/>
      <c r="C8" s="47"/>
      <c r="D8" s="47"/>
      <c r="E8" s="47"/>
      <c r="F8" s="47"/>
      <c r="G8" s="51"/>
      <c r="I8"/>
      <c r="J8"/>
    </row>
    <row r="9" spans="2:10" ht="36.75" customHeight="1" thickBot="1" x14ac:dyDescent="0.25">
      <c r="B9" s="165" t="s">
        <v>66</v>
      </c>
      <c r="C9" s="174" t="s">
        <v>5</v>
      </c>
      <c r="D9" s="65" t="s">
        <v>51</v>
      </c>
      <c r="E9" s="65" t="s">
        <v>50</v>
      </c>
      <c r="F9" s="66" t="s">
        <v>0</v>
      </c>
      <c r="G9" s="67" t="s">
        <v>3</v>
      </c>
      <c r="I9"/>
      <c r="J9"/>
    </row>
    <row r="10" spans="2:10" outlineLevel="2" x14ac:dyDescent="0.2">
      <c r="B10" s="44" t="s">
        <v>8</v>
      </c>
      <c r="C10" s="175">
        <f>IFERROR(INDEX(Tables!$C$33:$C$72,MATCH('Task 2-Total Pay Report '!B10,Tables!$D$33:$D$72,0)),"")</f>
        <v>1</v>
      </c>
      <c r="D10" s="31" t="str">
        <f>VLOOKUP(E10,Clients,2,0)</f>
        <v>City of Morton, NC</v>
      </c>
      <c r="E10" s="150" t="s">
        <v>68</v>
      </c>
      <c r="F10" s="179">
        <v>41456</v>
      </c>
      <c r="G10" s="182">
        <v>1600</v>
      </c>
      <c r="I10"/>
      <c r="J10"/>
    </row>
    <row r="11" spans="2:10" ht="15" outlineLevel="1" x14ac:dyDescent="0.25">
      <c r="B11" s="176" t="s">
        <v>233</v>
      </c>
      <c r="C11" s="175"/>
      <c r="E11" s="175"/>
      <c r="F11" s="185"/>
      <c r="G11" s="182">
        <f>SUM(G10)</f>
        <v>1600</v>
      </c>
      <c r="I11"/>
      <c r="J11"/>
    </row>
    <row r="12" spans="2:10" outlineLevel="2" x14ac:dyDescent="0.2">
      <c r="B12" s="44" t="s">
        <v>20</v>
      </c>
      <c r="C12" s="175">
        <f>IFERROR(INDEX(Tables!$C$33:$C$72,MATCH('Task 2-Total Pay Report '!B12,Tables!$D$33:$D$72,0)),"")</f>
        <v>13</v>
      </c>
      <c r="D12" s="31" t="str">
        <f>VLOOKUP(E12,Clients,2,0)</f>
        <v>Marshall Furniture</v>
      </c>
      <c r="E12" s="178" t="s">
        <v>70</v>
      </c>
      <c r="F12" s="180">
        <v>41472</v>
      </c>
      <c r="G12" s="183">
        <v>1387.5</v>
      </c>
    </row>
    <row r="13" spans="2:10" ht="15" outlineLevel="1" x14ac:dyDescent="0.25">
      <c r="B13" s="176" t="s">
        <v>234</v>
      </c>
      <c r="C13" s="175"/>
      <c r="E13" s="178"/>
      <c r="F13" s="180"/>
      <c r="G13" s="183">
        <f>SUM(G12)</f>
        <v>1387.5</v>
      </c>
    </row>
    <row r="14" spans="2:10" outlineLevel="2" x14ac:dyDescent="0.2">
      <c r="B14" s="44" t="s">
        <v>23</v>
      </c>
      <c r="C14" s="175">
        <f>IFERROR(INDEX(Tables!$C$33:$C$72,MATCH('Task 2-Total Pay Report '!B14,Tables!$D$33:$D$72,0)),"")</f>
        <v>16</v>
      </c>
      <c r="D14" s="31" t="str">
        <f>VLOOKUP(E14,Clients,2,0)</f>
        <v>School of the Environment</v>
      </c>
      <c r="E14" s="177" t="s">
        <v>69</v>
      </c>
      <c r="F14" s="181">
        <v>41473</v>
      </c>
      <c r="G14" s="184">
        <v>1400</v>
      </c>
    </row>
    <row r="15" spans="2:10" ht="15" outlineLevel="1" x14ac:dyDescent="0.25">
      <c r="B15" s="176" t="s">
        <v>235</v>
      </c>
      <c r="C15" s="175"/>
      <c r="E15" s="177"/>
      <c r="F15" s="181"/>
      <c r="G15" s="184">
        <f>SUM(G14)</f>
        <v>1400</v>
      </c>
    </row>
    <row r="16" spans="2:10" outlineLevel="2" x14ac:dyDescent="0.2">
      <c r="B16" s="44" t="s">
        <v>26</v>
      </c>
      <c r="C16" s="175">
        <f>IFERROR(INDEX(Tables!$C$33:$C$72,MATCH('Task 2-Total Pay Report '!B16,Tables!$D$33:$D$72,0)),"")</f>
        <v>19</v>
      </c>
      <c r="D16" s="31" t="str">
        <f>VLOOKUP(E16,Clients,2,0)</f>
        <v>Mack's Moving &amp; Storage</v>
      </c>
      <c r="E16" s="177" t="s">
        <v>75</v>
      </c>
      <c r="F16" s="181">
        <v>41469</v>
      </c>
      <c r="G16" s="184">
        <v>1049.9999999999989</v>
      </c>
    </row>
    <row r="17" spans="2:7" ht="15" outlineLevel="1" x14ac:dyDescent="0.25">
      <c r="B17" s="176" t="s">
        <v>236</v>
      </c>
      <c r="C17" s="175"/>
      <c r="E17" s="177"/>
      <c r="F17" s="181"/>
      <c r="G17" s="184">
        <f>SUM(G16)</f>
        <v>1049.9999999999989</v>
      </c>
    </row>
    <row r="18" spans="2:7" outlineLevel="2" x14ac:dyDescent="0.2">
      <c r="B18" s="44" t="s">
        <v>29</v>
      </c>
      <c r="C18" s="175">
        <f>IFERROR(INDEX(Tables!$C$33:$C$72,MATCH('Task 2-Total Pay Report '!B18,Tables!$D$33:$D$72,0)),"")</f>
        <v>22</v>
      </c>
      <c r="D18" s="31" t="str">
        <f>VLOOKUP(E18,Clients,2,0)</f>
        <v>School of the Environment</v>
      </c>
      <c r="E18" s="177" t="s">
        <v>69</v>
      </c>
      <c r="F18" s="181">
        <v>41473</v>
      </c>
      <c r="G18" s="184">
        <v>1350</v>
      </c>
    </row>
    <row r="19" spans="2:7" ht="15" outlineLevel="1" x14ac:dyDescent="0.25">
      <c r="B19" s="176" t="s">
        <v>237</v>
      </c>
      <c r="C19" s="175"/>
      <c r="E19" s="177"/>
      <c r="F19" s="181"/>
      <c r="G19" s="184">
        <f>SUM(G18)</f>
        <v>1350</v>
      </c>
    </row>
    <row r="20" spans="2:7" outlineLevel="2" x14ac:dyDescent="0.2">
      <c r="B20" s="44" t="s">
        <v>38</v>
      </c>
      <c r="C20" s="175">
        <f>IFERROR(INDEX(Tables!$C$33:$C$72,MATCH('Task 2-Total Pay Report '!B20,Tables!$D$33:$D$72,0)),"")</f>
        <v>31</v>
      </c>
      <c r="D20" s="31" t="str">
        <f>VLOOKUP(E20,Clients,2,0)</f>
        <v>Renfrow Printers &amp; Publishers</v>
      </c>
      <c r="E20" s="177" t="s">
        <v>72</v>
      </c>
      <c r="F20" s="181">
        <v>41471</v>
      </c>
      <c r="G20" s="184">
        <v>1125</v>
      </c>
    </row>
    <row r="21" spans="2:7" outlineLevel="2" x14ac:dyDescent="0.2">
      <c r="B21" s="44" t="s">
        <v>38</v>
      </c>
      <c r="C21" s="175">
        <f>IFERROR(INDEX(Tables!$C$33:$C$72,MATCH('Task 2-Total Pay Report '!B21,Tables!$D$33:$D$72,0)),"")</f>
        <v>31</v>
      </c>
      <c r="D21" s="31" t="str">
        <f>VLOOKUP(E21,Clients,2,0)</f>
        <v>Mack's Moving &amp; Storage</v>
      </c>
      <c r="E21" s="177" t="s">
        <v>75</v>
      </c>
      <c r="F21" s="181">
        <v>41472</v>
      </c>
      <c r="G21" s="184">
        <v>1162.5</v>
      </c>
    </row>
    <row r="22" spans="2:7" ht="15" outlineLevel="1" x14ac:dyDescent="0.25">
      <c r="B22" s="176" t="s">
        <v>238</v>
      </c>
      <c r="C22" s="175"/>
      <c r="E22" s="177"/>
      <c r="F22" s="181"/>
      <c r="G22" s="184">
        <f>SUM(G20:G21)</f>
        <v>2287.5</v>
      </c>
    </row>
    <row r="23" spans="2:7" outlineLevel="2" x14ac:dyDescent="0.2">
      <c r="B23" s="44" t="s">
        <v>41</v>
      </c>
      <c r="C23" s="175">
        <f>IFERROR(INDEX(Tables!$C$33:$C$72,MATCH('Task 2-Total Pay Report '!B23,Tables!$D$33:$D$72,0)),"")</f>
        <v>34</v>
      </c>
      <c r="D23" s="31" t="str">
        <f>VLOOKUP(E23,Clients,2,0)</f>
        <v>Sanford Booksellers, Ltd.</v>
      </c>
      <c r="E23" s="177" t="s">
        <v>73</v>
      </c>
      <c r="F23" s="181">
        <v>41467</v>
      </c>
      <c r="G23" s="184">
        <v>2400</v>
      </c>
    </row>
    <row r="24" spans="2:7" outlineLevel="2" x14ac:dyDescent="0.2">
      <c r="B24" s="44" t="s">
        <v>41</v>
      </c>
      <c r="C24" s="175">
        <f>IFERROR(INDEX(Tables!$C$33:$C$72,MATCH('Task 2-Total Pay Report '!B24,Tables!$D$33:$D$72,0)),"")</f>
        <v>34</v>
      </c>
      <c r="D24" s="31" t="str">
        <f>VLOOKUP(E24,Clients,2,0)</f>
        <v>School of the Environment</v>
      </c>
      <c r="E24" s="177" t="s">
        <v>69</v>
      </c>
      <c r="F24" s="181">
        <v>41468</v>
      </c>
      <c r="G24" s="184">
        <v>2400</v>
      </c>
    </row>
    <row r="25" spans="2:7" outlineLevel="2" x14ac:dyDescent="0.2">
      <c r="B25" s="44" t="s">
        <v>41</v>
      </c>
      <c r="C25" s="175">
        <f>IFERROR(INDEX(Tables!$C$33:$C$72,MATCH('Task 2-Total Pay Report '!B25,Tables!$D$33:$D$72,0)),"")</f>
        <v>34</v>
      </c>
      <c r="D25" s="31" t="str">
        <f>VLOOKUP(E25,Clients,2,0)</f>
        <v>Tandy's, Inc.</v>
      </c>
      <c r="E25" s="177" t="s">
        <v>71</v>
      </c>
      <c r="F25" s="181">
        <v>41469</v>
      </c>
      <c r="G25" s="184">
        <v>2600</v>
      </c>
    </row>
    <row r="26" spans="2:7" outlineLevel="2" x14ac:dyDescent="0.2">
      <c r="B26" s="44" t="s">
        <v>41</v>
      </c>
      <c r="C26" s="175">
        <f>IFERROR(INDEX(Tables!$C$33:$C$72,MATCH('Task 2-Total Pay Report '!B26,Tables!$D$33:$D$72,0)),"")</f>
        <v>34</v>
      </c>
      <c r="D26" s="31" t="str">
        <f>VLOOKUP(E26,Clients,2,0)</f>
        <v>Wardell, Mingus, and Krenshaw</v>
      </c>
      <c r="E26" s="177" t="s">
        <v>67</v>
      </c>
      <c r="F26" s="181">
        <v>41485</v>
      </c>
      <c r="G26" s="184">
        <v>1099.9999999999986</v>
      </c>
    </row>
    <row r="27" spans="2:7" ht="15" outlineLevel="1" x14ac:dyDescent="0.25">
      <c r="B27" s="176" t="s">
        <v>239</v>
      </c>
      <c r="C27" s="175"/>
      <c r="E27" s="177"/>
      <c r="F27" s="181"/>
      <c r="G27" s="184">
        <f>SUM(G23:G26)</f>
        <v>8499.9999999999982</v>
      </c>
    </row>
    <row r="28" spans="2:7" outlineLevel="2" x14ac:dyDescent="0.2">
      <c r="B28" s="44" t="s">
        <v>44</v>
      </c>
      <c r="C28" s="175">
        <f>IFERROR(INDEX(Tables!$C$33:$C$72,MATCH('Task 2-Total Pay Report '!B28,Tables!$D$33:$D$72,0)),"")</f>
        <v>37</v>
      </c>
      <c r="D28" s="31" t="str">
        <f>VLOOKUP(E28,Clients,2,0)</f>
        <v>City of Morton, NC</v>
      </c>
      <c r="E28" s="177" t="s">
        <v>68</v>
      </c>
      <c r="F28" s="181">
        <v>41473</v>
      </c>
      <c r="G28" s="184">
        <v>1599.9999999999984</v>
      </c>
    </row>
    <row r="29" spans="2:7" outlineLevel="2" x14ac:dyDescent="0.2">
      <c r="B29" s="44" t="s">
        <v>44</v>
      </c>
      <c r="C29" s="175">
        <f>IFERROR(INDEX(Tables!$C$33:$C$72,MATCH('Task 2-Total Pay Report '!B29,Tables!$D$33:$D$72,0)),"")</f>
        <v>37</v>
      </c>
      <c r="D29" s="31" t="str">
        <f>VLOOKUP(E29,Clients,2,0)</f>
        <v>Rodriguez Catering</v>
      </c>
      <c r="E29" s="177" t="s">
        <v>76</v>
      </c>
      <c r="F29" s="181">
        <v>41474</v>
      </c>
      <c r="G29" s="184">
        <v>2699.9999999999982</v>
      </c>
    </row>
    <row r="30" spans="2:7" ht="15" outlineLevel="1" x14ac:dyDescent="0.25">
      <c r="B30" s="176" t="s">
        <v>240</v>
      </c>
      <c r="G30" s="184">
        <f>SUM(G28:G29)</f>
        <v>4299.9999999999964</v>
      </c>
    </row>
    <row r="31" spans="2:7" ht="15" x14ac:dyDescent="0.25">
      <c r="B31" s="186" t="s">
        <v>195</v>
      </c>
      <c r="G31" s="184">
        <f>SUM(G30,G27,G22,G19,G17,G15,G13,G11)</f>
        <v>21874.999999999993</v>
      </c>
    </row>
  </sheetData>
  <autoFilter ref="B9:G29"/>
  <mergeCells count="2">
    <mergeCell ref="B6:G6"/>
    <mergeCell ref="B7:G7"/>
  </mergeCells>
  <phoneticPr fontId="0" type="noConversion"/>
  <pageMargins left="0.75" right="0.75" top="1" bottom="1" header="0.5" footer="0.5"/>
  <pageSetup orientation="landscape" horizontalDpi="4294967292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2:BD49"/>
  <sheetViews>
    <sheetView showGridLines="0" topLeftCell="A4" workbookViewId="0">
      <selection activeCell="A4" sqref="A4"/>
    </sheetView>
  </sheetViews>
  <sheetFormatPr defaultColWidth="9" defaultRowHeight="16.5" x14ac:dyDescent="0.3"/>
  <cols>
    <col min="1" max="1" width="8.25" style="3" customWidth="1"/>
    <col min="2" max="2" width="10.5" style="3" bestFit="1" customWidth="1"/>
    <col min="3" max="3" width="9" style="3"/>
    <col min="4" max="4" width="3.75" style="3" customWidth="1"/>
    <col min="5" max="5" width="24.625" style="3" customWidth="1"/>
    <col min="6" max="6" width="24" style="3" customWidth="1"/>
    <col min="7" max="7" width="10.25" style="3" customWidth="1"/>
    <col min="8" max="8" width="12.5" style="3" customWidth="1"/>
    <col min="9" max="9" width="9" style="3"/>
    <col min="10" max="10" width="19.625" style="3" bestFit="1" customWidth="1"/>
    <col min="11" max="11" width="13.25" style="3" bestFit="1" customWidth="1"/>
    <col min="12" max="12" width="9" style="3"/>
    <col min="13" max="13" width="22.25" style="3" bestFit="1" customWidth="1"/>
    <col min="14" max="16384" width="9" style="3"/>
  </cols>
  <sheetData>
    <row r="2" spans="2:56" x14ac:dyDescent="0.3">
      <c r="B2" s="34"/>
    </row>
    <row r="3" spans="2:56" x14ac:dyDescent="0.3">
      <c r="B3" s="34" t="s">
        <v>113</v>
      </c>
    </row>
    <row r="5" spans="2:56" ht="17.25" thickBot="1" x14ac:dyDescent="0.35"/>
    <row r="6" spans="2:56" ht="88.5" customHeight="1" x14ac:dyDescent="0.3">
      <c r="E6" s="219" t="s">
        <v>216</v>
      </c>
      <c r="F6" s="220"/>
      <c r="G6" s="1"/>
      <c r="H6" s="2"/>
    </row>
    <row r="7" spans="2:56" x14ac:dyDescent="0.3">
      <c r="E7" s="221">
        <f ca="1">NOW()</f>
        <v>44324.256513194443</v>
      </c>
      <c r="F7" s="222"/>
      <c r="G7" s="4"/>
      <c r="H7" s="5"/>
    </row>
    <row r="8" spans="2:56" ht="17.25" thickBot="1" x14ac:dyDescent="0.35">
      <c r="E8" s="6"/>
      <c r="F8" s="7"/>
      <c r="G8" s="8"/>
      <c r="H8" s="8"/>
    </row>
    <row r="9" spans="2:56" ht="28.5" thickBot="1" x14ac:dyDescent="0.35">
      <c r="E9" s="68" t="s">
        <v>77</v>
      </c>
      <c r="F9" s="69" t="s">
        <v>78</v>
      </c>
      <c r="G9" s="1"/>
      <c r="H9" s="9"/>
      <c r="I9" s="9"/>
    </row>
    <row r="10" spans="2:56" ht="17.25" thickBot="1" x14ac:dyDescent="0.35">
      <c r="B10" s="41" t="s">
        <v>8</v>
      </c>
      <c r="C10" s="8"/>
      <c r="E10" s="148" t="str">
        <f>LEFT(B10,SEARCH(" ",B10)-1)</f>
        <v>Charles</v>
      </c>
      <c r="F10" s="149" t="str">
        <f>RIGHT(B10,LEN(B10)-SEARCH(" ",B10))</f>
        <v>Morton</v>
      </c>
    </row>
    <row r="11" spans="2:56" ht="17.25" thickBot="1" x14ac:dyDescent="0.35">
      <c r="B11" s="44" t="s">
        <v>9</v>
      </c>
      <c r="C11" s="8"/>
      <c r="E11" s="148" t="str">
        <f t="shared" ref="E11:E49" si="0">LEFT(B11,SEARCH(" ",B11)-1)</f>
        <v>Allison</v>
      </c>
      <c r="F11" s="149" t="str">
        <f t="shared" ref="F11:F49" si="1">RIGHT(B11,LEN(B11)-SEARCH(" ",B11))</f>
        <v>Ives</v>
      </c>
    </row>
    <row r="12" spans="2:56" ht="17.25" thickBot="1" x14ac:dyDescent="0.35">
      <c r="B12" s="44" t="s">
        <v>10</v>
      </c>
      <c r="C12" s="8"/>
      <c r="E12" s="148" t="str">
        <f t="shared" si="0"/>
        <v>Jackson</v>
      </c>
      <c r="F12" s="149" t="str">
        <f t="shared" si="1"/>
        <v>Lin</v>
      </c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</row>
    <row r="13" spans="2:56" ht="17.25" thickBot="1" x14ac:dyDescent="0.35">
      <c r="B13" s="44" t="s">
        <v>11</v>
      </c>
      <c r="C13" s="8"/>
      <c r="E13" s="148" t="str">
        <f t="shared" si="0"/>
        <v>Rodrigo</v>
      </c>
      <c r="F13" s="149" t="str">
        <f t="shared" si="1"/>
        <v>Alvarez</v>
      </c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</row>
    <row r="14" spans="2:56" ht="17.25" thickBot="1" x14ac:dyDescent="0.35">
      <c r="B14" s="44" t="s">
        <v>12</v>
      </c>
      <c r="C14" s="8"/>
      <c r="E14" s="148" t="str">
        <f t="shared" si="0"/>
        <v>Arthur</v>
      </c>
      <c r="F14" s="149" t="str">
        <f t="shared" si="1"/>
        <v>Reilly</v>
      </c>
      <c r="J14" s="11"/>
      <c r="K14" s="10"/>
      <c r="L14" s="9"/>
      <c r="M14" s="9"/>
      <c r="N14" s="12"/>
      <c r="O14" s="13"/>
    </row>
    <row r="15" spans="2:56" ht="17.25" thickBot="1" x14ac:dyDescent="0.35">
      <c r="B15" s="44" t="s">
        <v>13</v>
      </c>
      <c r="C15" s="8"/>
      <c r="E15" s="148" t="str">
        <f t="shared" si="0"/>
        <v>Jordan</v>
      </c>
      <c r="F15" s="149" t="str">
        <f t="shared" si="1"/>
        <v>Hill</v>
      </c>
      <c r="J15" s="11"/>
      <c r="K15" s="10"/>
      <c r="L15" s="9"/>
      <c r="M15" s="9"/>
      <c r="N15" s="12"/>
      <c r="O15" s="13"/>
    </row>
    <row r="16" spans="2:56" ht="17.25" thickBot="1" x14ac:dyDescent="0.35">
      <c r="B16" s="44" t="s">
        <v>14</v>
      </c>
      <c r="C16" s="8"/>
      <c r="E16" s="148" t="str">
        <f t="shared" si="0"/>
        <v>Susanne</v>
      </c>
      <c r="F16" s="149" t="str">
        <f t="shared" si="1"/>
        <v>Foster</v>
      </c>
      <c r="J16" s="11"/>
      <c r="K16" s="10"/>
      <c r="L16" s="9"/>
      <c r="M16" s="9"/>
      <c r="N16" s="12"/>
      <c r="O16" s="13"/>
    </row>
    <row r="17" spans="2:15" ht="17.25" thickBot="1" x14ac:dyDescent="0.35">
      <c r="B17" s="44" t="s">
        <v>15</v>
      </c>
      <c r="C17" s="8"/>
      <c r="E17" s="148" t="str">
        <f t="shared" si="0"/>
        <v>Scott</v>
      </c>
      <c r="F17" s="149" t="str">
        <f t="shared" si="1"/>
        <v>Dilworth</v>
      </c>
      <c r="J17" s="11"/>
      <c r="K17" s="10"/>
      <c r="L17" s="9"/>
      <c r="M17" s="9"/>
      <c r="N17" s="12"/>
      <c r="O17" s="13"/>
    </row>
    <row r="18" spans="2:15" ht="17.25" thickBot="1" x14ac:dyDescent="0.35">
      <c r="B18" s="44" t="s">
        <v>16</v>
      </c>
      <c r="C18" s="8"/>
      <c r="E18" s="148" t="str">
        <f t="shared" si="0"/>
        <v>Kate</v>
      </c>
      <c r="F18" s="149" t="str">
        <f t="shared" si="1"/>
        <v>Emerson</v>
      </c>
      <c r="J18" s="11"/>
      <c r="K18" s="10"/>
      <c r="L18" s="9"/>
      <c r="M18" s="9"/>
      <c r="N18" s="12"/>
      <c r="O18" s="13"/>
    </row>
    <row r="19" spans="2:15" ht="17.25" thickBot="1" x14ac:dyDescent="0.35">
      <c r="B19" s="44" t="s">
        <v>17</v>
      </c>
      <c r="C19" s="8"/>
      <c r="E19" s="148" t="str">
        <f t="shared" si="0"/>
        <v>Lori</v>
      </c>
      <c r="F19" s="149" t="str">
        <f t="shared" si="1"/>
        <v>Anderson</v>
      </c>
      <c r="J19" s="11"/>
      <c r="K19" s="10"/>
      <c r="L19" s="9"/>
      <c r="M19" s="9"/>
      <c r="N19" s="12"/>
      <c r="O19" s="13"/>
    </row>
    <row r="20" spans="2:15" ht="17.25" thickBot="1" x14ac:dyDescent="0.35">
      <c r="B20" s="44" t="s">
        <v>18</v>
      </c>
      <c r="C20" s="8"/>
      <c r="E20" s="148" t="str">
        <f t="shared" si="0"/>
        <v>Eric</v>
      </c>
      <c r="F20" s="149" t="str">
        <f t="shared" si="1"/>
        <v>Stokes</v>
      </c>
      <c r="J20" s="11"/>
      <c r="K20" s="10"/>
      <c r="L20" s="9"/>
      <c r="M20" s="9"/>
      <c r="N20" s="12"/>
      <c r="O20" s="13"/>
    </row>
    <row r="21" spans="2:15" ht="17.25" thickBot="1" x14ac:dyDescent="0.35">
      <c r="B21" s="44" t="s">
        <v>19</v>
      </c>
      <c r="C21" s="8"/>
      <c r="E21" s="148" t="str">
        <f t="shared" si="0"/>
        <v>Sarah</v>
      </c>
      <c r="F21" s="149" t="str">
        <f t="shared" si="1"/>
        <v>Heller</v>
      </c>
    </row>
    <row r="22" spans="2:15" ht="17.25" thickBot="1" x14ac:dyDescent="0.35">
      <c r="B22" s="44" t="s">
        <v>20</v>
      </c>
      <c r="C22" s="8"/>
      <c r="E22" s="148" t="str">
        <f t="shared" si="0"/>
        <v>Carol</v>
      </c>
      <c r="F22" s="149" t="str">
        <f t="shared" si="1"/>
        <v>Johnson</v>
      </c>
    </row>
    <row r="23" spans="2:15" ht="17.25" thickBot="1" x14ac:dyDescent="0.35">
      <c r="B23" s="44" t="s">
        <v>21</v>
      </c>
      <c r="C23" s="8"/>
      <c r="E23" s="148" t="str">
        <f t="shared" si="0"/>
        <v>Kevin</v>
      </c>
      <c r="F23" s="149" t="str">
        <f t="shared" si="1"/>
        <v>McCallum</v>
      </c>
    </row>
    <row r="24" spans="2:15" ht="17.25" thickBot="1" x14ac:dyDescent="0.35">
      <c r="B24" s="44" t="s">
        <v>22</v>
      </c>
      <c r="C24" s="8"/>
      <c r="E24" s="148" t="str">
        <f t="shared" si="0"/>
        <v>James</v>
      </c>
      <c r="F24" s="149" t="str">
        <f t="shared" si="1"/>
        <v>Hartigan</v>
      </c>
    </row>
    <row r="25" spans="2:15" ht="17.25" thickBot="1" x14ac:dyDescent="0.35">
      <c r="B25" s="44" t="s">
        <v>23</v>
      </c>
      <c r="C25" s="8"/>
      <c r="E25" s="148" t="str">
        <f t="shared" si="0"/>
        <v>Thomas</v>
      </c>
      <c r="F25" s="149" t="str">
        <f t="shared" si="1"/>
        <v>Hoffman</v>
      </c>
    </row>
    <row r="26" spans="2:15" ht="17.25" thickBot="1" x14ac:dyDescent="0.35">
      <c r="B26" s="44" t="s">
        <v>24</v>
      </c>
      <c r="C26" s="8"/>
      <c r="E26" s="148" t="str">
        <f t="shared" si="0"/>
        <v>Bryan</v>
      </c>
      <c r="F26" s="149" t="str">
        <f t="shared" si="1"/>
        <v>Fowler</v>
      </c>
    </row>
    <row r="27" spans="2:15" ht="17.25" thickBot="1" x14ac:dyDescent="0.35">
      <c r="B27" s="44" t="s">
        <v>25</v>
      </c>
      <c r="C27" s="8"/>
      <c r="E27" s="148" t="str">
        <f t="shared" si="0"/>
        <v>Elizabeth</v>
      </c>
      <c r="F27" s="149" t="str">
        <f t="shared" si="1"/>
        <v>Roy</v>
      </c>
    </row>
    <row r="28" spans="2:15" ht="17.25" thickBot="1" x14ac:dyDescent="0.35">
      <c r="B28" s="44" t="s">
        <v>26</v>
      </c>
      <c r="C28" s="8"/>
      <c r="E28" s="148" t="str">
        <f t="shared" si="0"/>
        <v>Nadine</v>
      </c>
      <c r="F28" s="149" t="str">
        <f t="shared" si="1"/>
        <v>Smith</v>
      </c>
    </row>
    <row r="29" spans="2:15" ht="17.25" thickBot="1" x14ac:dyDescent="0.35">
      <c r="B29" s="44" t="s">
        <v>27</v>
      </c>
      <c r="C29" s="8"/>
      <c r="E29" s="148" t="str">
        <f t="shared" si="0"/>
        <v>John</v>
      </c>
      <c r="F29" s="149" t="str">
        <f t="shared" si="1"/>
        <v>Pane</v>
      </c>
    </row>
    <row r="30" spans="2:15" ht="17.25" thickBot="1" x14ac:dyDescent="0.35">
      <c r="B30" s="44" t="s">
        <v>28</v>
      </c>
      <c r="C30" s="8"/>
      <c r="E30" s="148" t="str">
        <f t="shared" si="0"/>
        <v>John</v>
      </c>
      <c r="F30" s="149" t="str">
        <f t="shared" si="1"/>
        <v>O'Donnell</v>
      </c>
    </row>
    <row r="31" spans="2:15" ht="17.25" thickBot="1" x14ac:dyDescent="0.35">
      <c r="B31" s="44" t="s">
        <v>29</v>
      </c>
      <c r="C31" s="8"/>
      <c r="E31" s="148" t="str">
        <f t="shared" si="0"/>
        <v>Far</v>
      </c>
      <c r="F31" s="149" t="str">
        <f t="shared" si="1"/>
        <v>Wen</v>
      </c>
    </row>
    <row r="32" spans="2:15" ht="17.25" thickBot="1" x14ac:dyDescent="0.35">
      <c r="B32" s="44" t="s">
        <v>30</v>
      </c>
      <c r="C32" s="8"/>
      <c r="E32" s="148" t="str">
        <f t="shared" si="0"/>
        <v>Carolyn</v>
      </c>
      <c r="F32" s="149" t="str">
        <f t="shared" si="1"/>
        <v>Roxby</v>
      </c>
    </row>
    <row r="33" spans="2:6" ht="17.25" thickBot="1" x14ac:dyDescent="0.35">
      <c r="B33" s="44" t="s">
        <v>31</v>
      </c>
      <c r="C33" s="8"/>
      <c r="E33" s="148" t="str">
        <f t="shared" si="0"/>
        <v>Angela</v>
      </c>
      <c r="F33" s="149" t="str">
        <f t="shared" si="1"/>
        <v>Garcia</v>
      </c>
    </row>
    <row r="34" spans="2:6" ht="17.25" thickBot="1" x14ac:dyDescent="0.35">
      <c r="B34" s="44" t="s">
        <v>32</v>
      </c>
      <c r="C34" s="8"/>
      <c r="E34" s="148" t="str">
        <f t="shared" si="0"/>
        <v>Tiffany</v>
      </c>
      <c r="F34" s="149" t="str">
        <f t="shared" si="1"/>
        <v>Rifkin</v>
      </c>
    </row>
    <row r="35" spans="2:6" ht="17.25" thickBot="1" x14ac:dyDescent="0.35">
      <c r="B35" s="44" t="s">
        <v>33</v>
      </c>
      <c r="C35" s="8"/>
      <c r="E35" s="148" t="str">
        <f t="shared" si="0"/>
        <v>Sam</v>
      </c>
      <c r="F35" s="149" t="str">
        <f t="shared" si="1"/>
        <v>Carver</v>
      </c>
    </row>
    <row r="36" spans="2:6" ht="17.25" thickBot="1" x14ac:dyDescent="0.35">
      <c r="B36" s="44" t="s">
        <v>34</v>
      </c>
      <c r="C36" s="8"/>
      <c r="E36" s="148" t="str">
        <f t="shared" si="0"/>
        <v>Everett</v>
      </c>
      <c r="F36" s="149" t="str">
        <f t="shared" si="1"/>
        <v>Ko</v>
      </c>
    </row>
    <row r="37" spans="2:6" ht="17.25" thickBot="1" x14ac:dyDescent="0.35">
      <c r="B37" s="44" t="s">
        <v>35</v>
      </c>
      <c r="C37" s="8"/>
      <c r="E37" s="148" t="str">
        <f t="shared" si="0"/>
        <v>Norman</v>
      </c>
      <c r="F37" s="149" t="str">
        <f t="shared" si="1"/>
        <v>Hardison</v>
      </c>
    </row>
    <row r="38" spans="2:6" ht="17.25" thickBot="1" x14ac:dyDescent="0.35">
      <c r="B38" s="44" t="s">
        <v>36</v>
      </c>
      <c r="C38" s="8"/>
      <c r="E38" s="148" t="str">
        <f t="shared" si="0"/>
        <v>Pamela</v>
      </c>
      <c r="F38" s="149" t="str">
        <f t="shared" si="1"/>
        <v>Buncombe</v>
      </c>
    </row>
    <row r="39" spans="2:6" ht="17.25" thickBot="1" x14ac:dyDescent="0.35">
      <c r="B39" s="44" t="s">
        <v>37</v>
      </c>
      <c r="C39" s="8"/>
      <c r="E39" s="148" t="str">
        <f t="shared" si="0"/>
        <v>Ardis</v>
      </c>
      <c r="F39" s="149" t="str">
        <f t="shared" si="1"/>
        <v>Foxworth</v>
      </c>
    </row>
    <row r="40" spans="2:6" ht="17.25" thickBot="1" x14ac:dyDescent="0.35">
      <c r="B40" s="44" t="s">
        <v>38</v>
      </c>
      <c r="C40" s="8"/>
      <c r="E40" s="148" t="str">
        <f t="shared" si="0"/>
        <v>Bob</v>
      </c>
      <c r="F40" s="149" t="str">
        <f t="shared" si="1"/>
        <v>Brickey</v>
      </c>
    </row>
    <row r="41" spans="2:6" ht="17.25" thickBot="1" x14ac:dyDescent="0.35">
      <c r="B41" s="44" t="s">
        <v>39</v>
      </c>
      <c r="C41" s="8"/>
      <c r="E41" s="148" t="str">
        <f t="shared" si="0"/>
        <v>Casper</v>
      </c>
      <c r="F41" s="149" t="str">
        <f t="shared" si="1"/>
        <v>Johnson</v>
      </c>
    </row>
    <row r="42" spans="2:6" ht="17.25" thickBot="1" x14ac:dyDescent="0.35">
      <c r="B42" s="44" t="s">
        <v>40</v>
      </c>
      <c r="C42" s="8"/>
      <c r="E42" s="148" t="str">
        <f t="shared" si="0"/>
        <v>Steven</v>
      </c>
      <c r="F42" s="149" t="str">
        <f t="shared" si="1"/>
        <v>Galloway</v>
      </c>
    </row>
    <row r="43" spans="2:6" ht="17.25" thickBot="1" x14ac:dyDescent="0.35">
      <c r="B43" s="44" t="s">
        <v>41</v>
      </c>
      <c r="C43" s="8"/>
      <c r="E43" s="148" t="str">
        <f t="shared" si="0"/>
        <v>Peter</v>
      </c>
      <c r="F43" s="149" t="str">
        <f t="shared" si="1"/>
        <v>Walton</v>
      </c>
    </row>
    <row r="44" spans="2:6" ht="17.25" thickBot="1" x14ac:dyDescent="0.35">
      <c r="B44" s="44" t="s">
        <v>42</v>
      </c>
      <c r="C44" s="8"/>
      <c r="E44" s="148" t="str">
        <f t="shared" si="0"/>
        <v>Linda</v>
      </c>
      <c r="F44" s="149" t="str">
        <f t="shared" si="1"/>
        <v>Huff</v>
      </c>
    </row>
    <row r="45" spans="2:6" ht="17.25" thickBot="1" x14ac:dyDescent="0.35">
      <c r="B45" s="44" t="s">
        <v>43</v>
      </c>
      <c r="C45" s="8"/>
      <c r="E45" s="148" t="str">
        <f t="shared" si="0"/>
        <v>Gary</v>
      </c>
      <c r="F45" s="149" t="str">
        <f t="shared" si="1"/>
        <v>Seamans</v>
      </c>
    </row>
    <row r="46" spans="2:6" ht="17.25" thickBot="1" x14ac:dyDescent="0.35">
      <c r="B46" s="44" t="s">
        <v>44</v>
      </c>
      <c r="C46" s="8"/>
      <c r="E46" s="148" t="str">
        <f t="shared" si="0"/>
        <v>Jose</v>
      </c>
      <c r="F46" s="149" t="str">
        <f t="shared" si="1"/>
        <v>Naron</v>
      </c>
    </row>
    <row r="47" spans="2:6" ht="17.25" thickBot="1" x14ac:dyDescent="0.35">
      <c r="B47" s="44" t="s">
        <v>45</v>
      </c>
      <c r="C47" s="8"/>
      <c r="E47" s="148" t="str">
        <f t="shared" si="0"/>
        <v>Anne</v>
      </c>
      <c r="F47" s="149" t="str">
        <f t="shared" si="1"/>
        <v>Neville</v>
      </c>
    </row>
    <row r="48" spans="2:6" ht="17.25" thickBot="1" x14ac:dyDescent="0.35">
      <c r="B48" s="44" t="s">
        <v>46</v>
      </c>
      <c r="C48" s="8"/>
      <c r="E48" s="148" t="str">
        <f t="shared" si="0"/>
        <v>Terri</v>
      </c>
      <c r="F48" s="149" t="str">
        <f t="shared" si="1"/>
        <v>Rorick</v>
      </c>
    </row>
    <row r="49" spans="2:6" ht="17.25" thickBot="1" x14ac:dyDescent="0.35">
      <c r="B49" s="47" t="s">
        <v>47</v>
      </c>
      <c r="C49" s="8"/>
      <c r="E49" s="148" t="str">
        <f t="shared" si="0"/>
        <v>Renee</v>
      </c>
      <c r="F49" s="149" t="str">
        <f t="shared" si="1"/>
        <v>Kringle</v>
      </c>
    </row>
  </sheetData>
  <mergeCells count="2">
    <mergeCell ref="E6:F6"/>
    <mergeCell ref="E7:F7"/>
  </mergeCells>
  <phoneticPr fontId="0" type="noConversion"/>
  <pageMargins left="0.75" right="0.75" top="1" bottom="1" header="0.5" footer="0.5"/>
  <pageSetup scale="54" orientation="landscape" horizontalDpi="4294967292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fitToPage="1"/>
  </sheetPr>
  <dimension ref="B2:T158"/>
  <sheetViews>
    <sheetView showGridLines="0" topLeftCell="A7" zoomScaleNormal="100" workbookViewId="0">
      <selection activeCell="H22" sqref="H22"/>
    </sheetView>
  </sheetViews>
  <sheetFormatPr defaultColWidth="9" defaultRowHeight="16.5" x14ac:dyDescent="0.3"/>
  <cols>
    <col min="1" max="1" width="3.625" style="121" customWidth="1"/>
    <col min="2" max="2" width="22.25" style="121" customWidth="1"/>
    <col min="3" max="3" width="17" style="121" customWidth="1"/>
    <col min="4" max="4" width="11.125" style="121" customWidth="1"/>
    <col min="5" max="5" width="10.875" style="121" customWidth="1"/>
    <col min="6" max="6" width="12.5" style="121" customWidth="1"/>
    <col min="7" max="7" width="4" style="123" customWidth="1"/>
    <col min="8" max="9" width="24.125" style="123" customWidth="1"/>
    <col min="10" max="10" width="13.875" style="123" customWidth="1"/>
    <col min="11" max="11" width="14.625" style="123" customWidth="1"/>
    <col min="12" max="12" width="13.125" style="123" customWidth="1"/>
    <col min="13" max="13" width="12.625" style="123" customWidth="1"/>
    <col min="14" max="14" width="15.625" style="123" customWidth="1"/>
    <col min="15" max="15" width="9.875" style="121" bestFit="1" customWidth="1"/>
    <col min="16" max="16384" width="9" style="121"/>
  </cols>
  <sheetData>
    <row r="2" spans="2:20" x14ac:dyDescent="0.3">
      <c r="B2" s="34"/>
      <c r="D2" s="122"/>
    </row>
    <row r="3" spans="2:20" x14ac:dyDescent="0.3">
      <c r="B3" s="34" t="s">
        <v>116</v>
      </c>
    </row>
    <row r="4" spans="2:20" ht="17.25" thickBot="1" x14ac:dyDescent="0.35"/>
    <row r="5" spans="2:20" ht="93.75" customHeight="1" x14ac:dyDescent="0.3">
      <c r="B5" s="124"/>
      <c r="C5" s="125" t="s">
        <v>216</v>
      </c>
      <c r="D5" s="126"/>
      <c r="E5" s="126"/>
      <c r="F5" s="127"/>
    </row>
    <row r="6" spans="2:20" ht="22.5" customHeight="1" thickBot="1" x14ac:dyDescent="0.35">
      <c r="B6" s="128"/>
      <c r="C6" s="129"/>
      <c r="D6" s="129"/>
      <c r="E6" s="129"/>
      <c r="F6" s="130"/>
      <c r="H6" s="223" t="s">
        <v>228</v>
      </c>
      <c r="I6" s="223"/>
      <c r="J6" s="223"/>
      <c r="K6" s="223"/>
      <c r="L6"/>
      <c r="M6"/>
      <c r="N6" s="223" t="s">
        <v>229</v>
      </c>
      <c r="O6" s="223"/>
    </row>
    <row r="7" spans="2:20" ht="31.5" thickBot="1" x14ac:dyDescent="0.35">
      <c r="B7" s="131" t="s">
        <v>51</v>
      </c>
      <c r="C7" s="131" t="s">
        <v>82</v>
      </c>
      <c r="D7" s="132" t="s">
        <v>0</v>
      </c>
      <c r="E7" s="131" t="s">
        <v>118</v>
      </c>
      <c r="F7" s="131" t="s">
        <v>83</v>
      </c>
      <c r="H7" s="161" t="s">
        <v>51</v>
      </c>
      <c r="I7" s="161" t="s">
        <v>243</v>
      </c>
      <c r="J7" s="161" t="s">
        <v>118</v>
      </c>
      <c r="K7" s="161" t="s">
        <v>3</v>
      </c>
      <c r="N7" s="161" t="s">
        <v>82</v>
      </c>
      <c r="O7" s="161" t="s">
        <v>83</v>
      </c>
    </row>
    <row r="8" spans="2:20" x14ac:dyDescent="0.3">
      <c r="B8" s="123" t="s">
        <v>127</v>
      </c>
      <c r="C8" s="133" t="s">
        <v>123</v>
      </c>
      <c r="D8" s="134">
        <v>40421</v>
      </c>
      <c r="E8" s="135">
        <f t="shared" ref="E8:E39" si="0">F8/160</f>
        <v>2.6749999999999998</v>
      </c>
      <c r="F8" s="136">
        <v>428</v>
      </c>
      <c r="H8" s="187" t="s">
        <v>127</v>
      </c>
      <c r="I8" s="133" t="s">
        <v>123</v>
      </c>
      <c r="J8" s="135">
        <f>SUMIFS($E$8:$E$89,$B$8:$B$89,H8)</f>
        <v>21.543749999999999</v>
      </c>
      <c r="K8" s="136">
        <f>SUMIFS($F$8:$F$89,$B$8:$B$89,H8)</f>
        <v>3447</v>
      </c>
      <c r="N8" s="167" t="s">
        <v>123</v>
      </c>
      <c r="O8" s="162">
        <f>SUMIFS($F$8:$F$89,$C$8:$C$89,N8)</f>
        <v>16095</v>
      </c>
    </row>
    <row r="9" spans="2:20" x14ac:dyDescent="0.3">
      <c r="B9" s="123" t="s">
        <v>127</v>
      </c>
      <c r="C9" s="133" t="s">
        <v>123</v>
      </c>
      <c r="D9" s="134">
        <v>40423</v>
      </c>
      <c r="E9" s="135">
        <f t="shared" si="0"/>
        <v>2.625</v>
      </c>
      <c r="F9" s="136">
        <v>420</v>
      </c>
      <c r="H9" s="187" t="s">
        <v>124</v>
      </c>
      <c r="I9" s="133" t="s">
        <v>120</v>
      </c>
      <c r="J9" s="135">
        <f t="shared" ref="J9:J19" si="1">SUMIFS($E$8:$E$89,$B$8:$B$89,H9)</f>
        <v>61.760937500000011</v>
      </c>
      <c r="K9" s="136">
        <f t="shared" ref="K9:K19" si="2">SUMIFS($F$8:$F$89,$B$8:$B$89,H9)</f>
        <v>9881.75</v>
      </c>
      <c r="N9" s="168" t="s">
        <v>120</v>
      </c>
      <c r="O9" s="163">
        <f t="shared" ref="O9:O11" si="3">SUMIFS($F$8:$F$89,$C$8:$C$89,N9)</f>
        <v>25989</v>
      </c>
    </row>
    <row r="10" spans="2:20" x14ac:dyDescent="0.3">
      <c r="B10" s="123" t="s">
        <v>124</v>
      </c>
      <c r="C10" s="133" t="s">
        <v>120</v>
      </c>
      <c r="D10" s="134">
        <v>40427</v>
      </c>
      <c r="E10" s="135">
        <f t="shared" si="0"/>
        <v>3.0359375000000002</v>
      </c>
      <c r="F10" s="136">
        <v>485.75</v>
      </c>
      <c r="H10" s="187" t="s">
        <v>121</v>
      </c>
      <c r="I10" s="133" t="s">
        <v>120</v>
      </c>
      <c r="J10" s="135">
        <f t="shared" si="1"/>
        <v>50.120312500000004</v>
      </c>
      <c r="K10" s="136">
        <f t="shared" si="2"/>
        <v>8019.25</v>
      </c>
      <c r="N10" s="168" t="s">
        <v>84</v>
      </c>
      <c r="O10" s="163">
        <f t="shared" si="3"/>
        <v>21708.5</v>
      </c>
      <c r="P10" s="137"/>
      <c r="Q10" s="137"/>
      <c r="R10" s="137"/>
      <c r="S10" s="137"/>
      <c r="T10" s="137"/>
    </row>
    <row r="11" spans="2:20" x14ac:dyDescent="0.3">
      <c r="B11" s="123" t="s">
        <v>121</v>
      </c>
      <c r="C11" s="133" t="s">
        <v>120</v>
      </c>
      <c r="D11" s="134">
        <v>40451</v>
      </c>
      <c r="E11" s="135">
        <f t="shared" si="0"/>
        <v>2.6375000000000002</v>
      </c>
      <c r="F11" s="136">
        <v>422</v>
      </c>
      <c r="H11" s="187" t="s">
        <v>128</v>
      </c>
      <c r="I11" s="133" t="s">
        <v>84</v>
      </c>
      <c r="J11" s="135">
        <f t="shared" si="1"/>
        <v>46.884374999999999</v>
      </c>
      <c r="K11" s="136">
        <f t="shared" si="2"/>
        <v>7501.5</v>
      </c>
      <c r="N11" s="169" t="s">
        <v>85</v>
      </c>
      <c r="O11" s="164">
        <f t="shared" si="3"/>
        <v>14370.25</v>
      </c>
      <c r="P11" s="137"/>
      <c r="Q11" s="137"/>
      <c r="R11" s="137"/>
      <c r="S11" s="137"/>
      <c r="T11" s="137"/>
    </row>
    <row r="12" spans="2:20" x14ac:dyDescent="0.3">
      <c r="B12" s="123" t="s">
        <v>128</v>
      </c>
      <c r="C12" s="133" t="s">
        <v>84</v>
      </c>
      <c r="D12" s="134">
        <v>40469</v>
      </c>
      <c r="E12" s="135">
        <f t="shared" si="0"/>
        <v>2.9031250000000002</v>
      </c>
      <c r="F12" s="136">
        <v>464.5</v>
      </c>
      <c r="H12" s="187" t="s">
        <v>65</v>
      </c>
      <c r="I12" s="133" t="s">
        <v>85</v>
      </c>
      <c r="J12" s="135">
        <f t="shared" si="1"/>
        <v>33.703125</v>
      </c>
      <c r="K12" s="136">
        <f t="shared" si="2"/>
        <v>5392.4999999999991</v>
      </c>
      <c r="N12"/>
      <c r="O12" s="139"/>
      <c r="P12" s="140"/>
    </row>
    <row r="13" spans="2:20" x14ac:dyDescent="0.3">
      <c r="B13" s="123" t="s">
        <v>65</v>
      </c>
      <c r="C13" s="133" t="s">
        <v>85</v>
      </c>
      <c r="D13" s="134">
        <v>40763</v>
      </c>
      <c r="E13" s="135">
        <f t="shared" si="0"/>
        <v>7.03125</v>
      </c>
      <c r="F13" s="136">
        <v>1125</v>
      </c>
      <c r="H13" s="187" t="s">
        <v>61</v>
      </c>
      <c r="I13" s="133" t="s">
        <v>85</v>
      </c>
      <c r="J13" s="135">
        <f t="shared" si="1"/>
        <v>56.110937500000006</v>
      </c>
      <c r="K13" s="136">
        <f t="shared" si="2"/>
        <v>8977.75</v>
      </c>
      <c r="N13"/>
      <c r="O13" s="139"/>
      <c r="P13" s="140"/>
    </row>
    <row r="14" spans="2:20" x14ac:dyDescent="0.3">
      <c r="B14" s="123" t="s">
        <v>61</v>
      </c>
      <c r="C14" s="133" t="s">
        <v>85</v>
      </c>
      <c r="D14" s="134">
        <v>40771</v>
      </c>
      <c r="E14" s="135">
        <f t="shared" si="0"/>
        <v>14.5</v>
      </c>
      <c r="F14" s="136">
        <v>2320</v>
      </c>
      <c r="H14" s="187" t="s">
        <v>122</v>
      </c>
      <c r="I14" s="133" t="s">
        <v>123</v>
      </c>
      <c r="J14" s="135">
        <f t="shared" si="1"/>
        <v>45.065624999999997</v>
      </c>
      <c r="K14" s="136">
        <f t="shared" si="2"/>
        <v>7210.5</v>
      </c>
      <c r="N14"/>
      <c r="O14" s="139"/>
      <c r="P14" s="140"/>
    </row>
    <row r="15" spans="2:20" x14ac:dyDescent="0.3">
      <c r="B15" s="123" t="s">
        <v>61</v>
      </c>
      <c r="C15" s="133" t="s">
        <v>85</v>
      </c>
      <c r="D15" s="134">
        <v>40773</v>
      </c>
      <c r="E15" s="135">
        <f t="shared" si="0"/>
        <v>6.6703124999999996</v>
      </c>
      <c r="F15" s="136">
        <v>1067.25</v>
      </c>
      <c r="H15" s="190" t="s">
        <v>126</v>
      </c>
      <c r="I15" s="133" t="s">
        <v>123</v>
      </c>
      <c r="J15" s="135">
        <f t="shared" si="1"/>
        <v>33.984375</v>
      </c>
      <c r="K15" s="136">
        <f t="shared" si="2"/>
        <v>5437.5</v>
      </c>
      <c r="N15"/>
      <c r="O15" s="139"/>
      <c r="P15" s="140"/>
    </row>
    <row r="16" spans="2:20" x14ac:dyDescent="0.3">
      <c r="B16" s="123" t="s">
        <v>122</v>
      </c>
      <c r="C16" s="133" t="s">
        <v>123</v>
      </c>
      <c r="D16" s="134">
        <v>40774</v>
      </c>
      <c r="E16" s="135">
        <f t="shared" si="0"/>
        <v>9.4312500000000004</v>
      </c>
      <c r="F16" s="136">
        <v>1509</v>
      </c>
      <c r="H16" s="187" t="s">
        <v>119</v>
      </c>
      <c r="I16" s="133" t="s">
        <v>120</v>
      </c>
      <c r="J16" s="135">
        <f t="shared" si="1"/>
        <v>50.54999999999999</v>
      </c>
      <c r="K16" s="136">
        <f t="shared" si="2"/>
        <v>8087.9999999999973</v>
      </c>
      <c r="N16"/>
      <c r="O16" s="139"/>
      <c r="P16" s="140"/>
    </row>
    <row r="17" spans="2:16" x14ac:dyDescent="0.3">
      <c r="B17" s="123" t="s">
        <v>122</v>
      </c>
      <c r="C17" s="133" t="s">
        <v>123</v>
      </c>
      <c r="D17" s="134">
        <v>40775</v>
      </c>
      <c r="E17" s="135">
        <f t="shared" si="0"/>
        <v>7.8937499999999998</v>
      </c>
      <c r="F17" s="136">
        <v>1263</v>
      </c>
      <c r="H17" s="187" t="s">
        <v>125</v>
      </c>
      <c r="I17" s="133" t="s">
        <v>84</v>
      </c>
      <c r="J17" s="135">
        <f t="shared" si="1"/>
        <v>23.939062500000002</v>
      </c>
      <c r="K17" s="136">
        <f t="shared" si="2"/>
        <v>3830.25</v>
      </c>
      <c r="N17"/>
      <c r="O17" s="139"/>
      <c r="P17" s="140"/>
    </row>
    <row r="18" spans="2:16" x14ac:dyDescent="0.3">
      <c r="B18" s="123" t="s">
        <v>122</v>
      </c>
      <c r="C18" s="133" t="s">
        <v>123</v>
      </c>
      <c r="D18" s="134">
        <v>40777</v>
      </c>
      <c r="E18" s="135">
        <f t="shared" si="0"/>
        <v>13.3125</v>
      </c>
      <c r="F18" s="136">
        <v>2130</v>
      </c>
      <c r="H18" s="190" t="s">
        <v>59</v>
      </c>
      <c r="I18" s="133" t="s">
        <v>84</v>
      </c>
      <c r="J18" s="135">
        <f t="shared" si="1"/>
        <v>28.170312500000001</v>
      </c>
      <c r="K18" s="136">
        <f t="shared" si="2"/>
        <v>4507.25</v>
      </c>
      <c r="N18"/>
    </row>
    <row r="19" spans="2:16" x14ac:dyDescent="0.3">
      <c r="B19" s="123" t="s">
        <v>122</v>
      </c>
      <c r="C19" s="133" t="s">
        <v>123</v>
      </c>
      <c r="D19" s="134">
        <v>40778</v>
      </c>
      <c r="E19" s="135">
        <f t="shared" si="0"/>
        <v>8.2531250000000007</v>
      </c>
      <c r="F19" s="136">
        <v>1320.5</v>
      </c>
      <c r="H19" s="190" t="s">
        <v>64</v>
      </c>
      <c r="I19" s="133" t="s">
        <v>84</v>
      </c>
      <c r="J19" s="135">
        <f t="shared" si="1"/>
        <v>36.684374999999996</v>
      </c>
      <c r="K19" s="136">
        <f t="shared" si="2"/>
        <v>5869.4999999999991</v>
      </c>
      <c r="N19"/>
    </row>
    <row r="20" spans="2:16" x14ac:dyDescent="0.3">
      <c r="B20" s="123" t="s">
        <v>126</v>
      </c>
      <c r="C20" s="133" t="s">
        <v>123</v>
      </c>
      <c r="D20" s="134">
        <v>40781</v>
      </c>
      <c r="E20" s="135">
        <f t="shared" si="0"/>
        <v>7.6281249999999998</v>
      </c>
      <c r="F20" s="136">
        <v>1220.5</v>
      </c>
      <c r="H20"/>
      <c r="I20"/>
      <c r="J20"/>
      <c r="K20"/>
      <c r="L20"/>
      <c r="M20"/>
      <c r="N20"/>
    </row>
    <row r="21" spans="2:16" x14ac:dyDescent="0.3">
      <c r="B21" s="123" t="s">
        <v>124</v>
      </c>
      <c r="C21" s="133" t="s">
        <v>120</v>
      </c>
      <c r="D21" s="134">
        <v>40797</v>
      </c>
      <c r="E21" s="135">
        <f t="shared" si="0"/>
        <v>8.90625</v>
      </c>
      <c r="F21" s="136">
        <v>1425</v>
      </c>
      <c r="H21"/>
      <c r="I21"/>
      <c r="J21"/>
    </row>
    <row r="22" spans="2:16" x14ac:dyDescent="0.3">
      <c r="B22" s="123" t="s">
        <v>119</v>
      </c>
      <c r="C22" s="133" t="s">
        <v>120</v>
      </c>
      <c r="D22" s="134">
        <v>40803</v>
      </c>
      <c r="E22" s="135">
        <f t="shared" si="0"/>
        <v>8.15625</v>
      </c>
      <c r="F22" s="136">
        <v>1305</v>
      </c>
      <c r="H22"/>
      <c r="I22"/>
      <c r="J22"/>
    </row>
    <row r="23" spans="2:16" x14ac:dyDescent="0.3">
      <c r="B23" s="123" t="s">
        <v>119</v>
      </c>
      <c r="C23" s="133" t="s">
        <v>120</v>
      </c>
      <c r="D23" s="134">
        <v>40810</v>
      </c>
      <c r="E23" s="135">
        <f t="shared" si="0"/>
        <v>7.8156249999999998</v>
      </c>
      <c r="F23" s="136">
        <v>1250.5</v>
      </c>
      <c r="H23"/>
      <c r="I23"/>
      <c r="J23"/>
    </row>
    <row r="24" spans="2:16" x14ac:dyDescent="0.3">
      <c r="B24" s="123" t="s">
        <v>121</v>
      </c>
      <c r="C24" s="133" t="s">
        <v>120</v>
      </c>
      <c r="D24" s="134">
        <v>40813</v>
      </c>
      <c r="E24" s="135">
        <f t="shared" si="0"/>
        <v>7.3624999999999998</v>
      </c>
      <c r="F24" s="136">
        <v>1178</v>
      </c>
      <c r="H24"/>
      <c r="I24"/>
      <c r="J24"/>
    </row>
    <row r="25" spans="2:16" x14ac:dyDescent="0.3">
      <c r="B25" s="123" t="s">
        <v>121</v>
      </c>
      <c r="C25" s="133" t="s">
        <v>120</v>
      </c>
      <c r="D25" s="134">
        <v>40814</v>
      </c>
      <c r="E25" s="135">
        <f t="shared" si="0"/>
        <v>7.5</v>
      </c>
      <c r="F25" s="136">
        <v>1200</v>
      </c>
      <c r="H25"/>
      <c r="I25"/>
      <c r="J25"/>
    </row>
    <row r="26" spans="2:16" x14ac:dyDescent="0.3">
      <c r="B26" s="123" t="s">
        <v>121</v>
      </c>
      <c r="C26" s="133" t="s">
        <v>120</v>
      </c>
      <c r="D26" s="134">
        <v>40849</v>
      </c>
      <c r="E26" s="135">
        <f t="shared" si="0"/>
        <v>8.1312499999999996</v>
      </c>
      <c r="F26" s="136">
        <v>1301</v>
      </c>
      <c r="H26"/>
      <c r="I26"/>
      <c r="J26"/>
    </row>
    <row r="27" spans="2:16" x14ac:dyDescent="0.3">
      <c r="B27" s="123" t="s">
        <v>125</v>
      </c>
      <c r="C27" s="133" t="s">
        <v>84</v>
      </c>
      <c r="D27" s="134">
        <v>40851</v>
      </c>
      <c r="E27" s="135">
        <f t="shared" si="0"/>
        <v>8.1593750000000007</v>
      </c>
      <c r="F27" s="136">
        <v>1305.5</v>
      </c>
      <c r="H27"/>
      <c r="I27"/>
      <c r="J27"/>
    </row>
    <row r="28" spans="2:16" x14ac:dyDescent="0.3">
      <c r="B28" s="123" t="s">
        <v>59</v>
      </c>
      <c r="C28" s="133" t="s">
        <v>84</v>
      </c>
      <c r="D28" s="134">
        <v>40858</v>
      </c>
      <c r="E28" s="135">
        <f t="shared" si="0"/>
        <v>7.5062499999999996</v>
      </c>
      <c r="F28" s="136">
        <v>1201</v>
      </c>
      <c r="H28"/>
      <c r="I28"/>
      <c r="J28"/>
    </row>
    <row r="29" spans="2:16" x14ac:dyDescent="0.3">
      <c r="B29" s="123" t="s">
        <v>64</v>
      </c>
      <c r="C29" s="133" t="s">
        <v>84</v>
      </c>
      <c r="D29" s="134">
        <v>40862</v>
      </c>
      <c r="E29" s="135">
        <f t="shared" si="0"/>
        <v>9.375</v>
      </c>
      <c r="F29" s="136">
        <v>1500</v>
      </c>
      <c r="H29"/>
      <c r="I29"/>
      <c r="J29"/>
      <c r="K29" s="138"/>
    </row>
    <row r="30" spans="2:16" x14ac:dyDescent="0.3">
      <c r="B30" s="123" t="s">
        <v>64</v>
      </c>
      <c r="C30" s="133" t="s">
        <v>84</v>
      </c>
      <c r="D30" s="134">
        <v>40863</v>
      </c>
      <c r="E30" s="135">
        <f t="shared" si="0"/>
        <v>9.3874999999999993</v>
      </c>
      <c r="F30" s="136">
        <v>1502</v>
      </c>
      <c r="H30"/>
      <c r="I30"/>
      <c r="J30"/>
    </row>
    <row r="31" spans="2:16" x14ac:dyDescent="0.3">
      <c r="B31" s="123" t="s">
        <v>64</v>
      </c>
      <c r="C31" s="133" t="s">
        <v>84</v>
      </c>
      <c r="D31" s="134">
        <v>40864</v>
      </c>
      <c r="E31" s="135">
        <f t="shared" si="0"/>
        <v>6.8031249999999996</v>
      </c>
      <c r="F31" s="136">
        <v>1088.5</v>
      </c>
      <c r="H31"/>
      <c r="I31"/>
      <c r="J31"/>
    </row>
    <row r="32" spans="2:16" x14ac:dyDescent="0.3">
      <c r="B32" s="123" t="s">
        <v>128</v>
      </c>
      <c r="C32" s="133" t="s">
        <v>84</v>
      </c>
      <c r="D32" s="134">
        <v>40870</v>
      </c>
      <c r="E32" s="135">
        <f t="shared" si="0"/>
        <v>17.5</v>
      </c>
      <c r="F32" s="136">
        <v>2800</v>
      </c>
      <c r="H32"/>
      <c r="I32"/>
      <c r="J32"/>
      <c r="K32" s="138"/>
    </row>
    <row r="33" spans="2:10" x14ac:dyDescent="0.3">
      <c r="B33" s="123" t="s">
        <v>128</v>
      </c>
      <c r="C33" s="133" t="s">
        <v>84</v>
      </c>
      <c r="D33" s="134">
        <v>40871</v>
      </c>
      <c r="E33" s="135">
        <f t="shared" si="0"/>
        <v>7.2015624999999996</v>
      </c>
      <c r="F33" s="136">
        <v>1152.25</v>
      </c>
      <c r="H33"/>
      <c r="I33"/>
      <c r="J33"/>
    </row>
    <row r="34" spans="2:10" x14ac:dyDescent="0.3">
      <c r="B34" s="123" t="s">
        <v>65</v>
      </c>
      <c r="C34" s="133" t="s">
        <v>85</v>
      </c>
      <c r="D34" s="134">
        <v>41125</v>
      </c>
      <c r="E34" s="135">
        <f t="shared" si="0"/>
        <v>6.0343749999999954</v>
      </c>
      <c r="F34" s="136">
        <v>965.4999999999992</v>
      </c>
      <c r="H34"/>
      <c r="I34"/>
      <c r="J34"/>
    </row>
    <row r="35" spans="2:10" x14ac:dyDescent="0.3">
      <c r="B35" s="123" t="s">
        <v>65</v>
      </c>
      <c r="C35" s="133" t="s">
        <v>85</v>
      </c>
      <c r="D35" s="134">
        <v>41126</v>
      </c>
      <c r="E35" s="135">
        <f t="shared" si="0"/>
        <v>6.09375</v>
      </c>
      <c r="F35" s="136">
        <v>975</v>
      </c>
      <c r="H35"/>
      <c r="I35"/>
      <c r="J35"/>
    </row>
    <row r="36" spans="2:10" x14ac:dyDescent="0.3">
      <c r="B36" s="123" t="s">
        <v>65</v>
      </c>
      <c r="C36" s="133" t="s">
        <v>85</v>
      </c>
      <c r="D36" s="134">
        <v>41130</v>
      </c>
      <c r="E36" s="135">
        <f t="shared" si="0"/>
        <v>6.25</v>
      </c>
      <c r="F36" s="136">
        <v>1000</v>
      </c>
      <c r="H36"/>
      <c r="I36"/>
      <c r="J36"/>
    </row>
    <row r="37" spans="2:10" x14ac:dyDescent="0.3">
      <c r="B37" s="123" t="s">
        <v>61</v>
      </c>
      <c r="C37" s="133" t="s">
        <v>85</v>
      </c>
      <c r="D37" s="134">
        <v>41138</v>
      </c>
      <c r="E37" s="135">
        <f t="shared" si="0"/>
        <v>5.9249999999999998</v>
      </c>
      <c r="F37" s="136">
        <v>948</v>
      </c>
      <c r="H37"/>
      <c r="I37"/>
      <c r="J37"/>
    </row>
    <row r="38" spans="2:10" x14ac:dyDescent="0.3">
      <c r="B38" s="123" t="s">
        <v>122</v>
      </c>
      <c r="C38" s="133" t="s">
        <v>123</v>
      </c>
      <c r="D38" s="134">
        <v>41142</v>
      </c>
      <c r="E38" s="135">
        <f t="shared" si="0"/>
        <v>6.1749999999999998</v>
      </c>
      <c r="F38" s="136">
        <v>988</v>
      </c>
      <c r="H38"/>
      <c r="I38"/>
      <c r="J38"/>
    </row>
    <row r="39" spans="2:10" x14ac:dyDescent="0.3">
      <c r="B39" s="123" t="s">
        <v>126</v>
      </c>
      <c r="C39" s="133" t="s">
        <v>123</v>
      </c>
      <c r="D39" s="134">
        <v>41146</v>
      </c>
      <c r="E39" s="135">
        <f t="shared" si="0"/>
        <v>6.3</v>
      </c>
      <c r="F39" s="136">
        <v>1008</v>
      </c>
      <c r="H39"/>
      <c r="I39"/>
      <c r="J39"/>
    </row>
    <row r="40" spans="2:10" x14ac:dyDescent="0.3">
      <c r="B40" s="123" t="s">
        <v>126</v>
      </c>
      <c r="C40" s="133" t="s">
        <v>123</v>
      </c>
      <c r="D40" s="134">
        <v>41148</v>
      </c>
      <c r="E40" s="135">
        <f t="shared" ref="E40:E71" si="4">F40/160</f>
        <v>6.0906250000000002</v>
      </c>
      <c r="F40" s="136">
        <v>974.5</v>
      </c>
      <c r="H40"/>
      <c r="I40"/>
      <c r="J40"/>
    </row>
    <row r="41" spans="2:10" x14ac:dyDescent="0.3">
      <c r="B41" s="123" t="s">
        <v>127</v>
      </c>
      <c r="C41" s="133" t="s">
        <v>123</v>
      </c>
      <c r="D41" s="134">
        <v>41153</v>
      </c>
      <c r="E41" s="135">
        <f t="shared" si="4"/>
        <v>6.3562500000000002</v>
      </c>
      <c r="F41" s="136">
        <v>1017</v>
      </c>
      <c r="H41"/>
      <c r="I41"/>
      <c r="J41"/>
    </row>
    <row r="42" spans="2:10" x14ac:dyDescent="0.3">
      <c r="B42" s="123" t="s">
        <v>127</v>
      </c>
      <c r="C42" s="133" t="s">
        <v>123</v>
      </c>
      <c r="D42" s="134">
        <v>41155</v>
      </c>
      <c r="E42" s="135">
        <f t="shared" si="4"/>
        <v>6.0625</v>
      </c>
      <c r="F42" s="136">
        <v>970</v>
      </c>
      <c r="H42"/>
      <c r="I42"/>
      <c r="J42"/>
    </row>
    <row r="43" spans="2:10" x14ac:dyDescent="0.3">
      <c r="B43" s="123" t="s">
        <v>124</v>
      </c>
      <c r="C43" s="133" t="s">
        <v>120</v>
      </c>
      <c r="D43" s="134">
        <v>41164</v>
      </c>
      <c r="E43" s="135">
        <f t="shared" si="4"/>
        <v>6.5374999999999996</v>
      </c>
      <c r="F43" s="136">
        <v>1046</v>
      </c>
      <c r="H43"/>
      <c r="I43"/>
      <c r="J43"/>
    </row>
    <row r="44" spans="2:10" x14ac:dyDescent="0.3">
      <c r="B44" s="123" t="s">
        <v>119</v>
      </c>
      <c r="C44" s="133" t="s">
        <v>120</v>
      </c>
      <c r="D44" s="134">
        <v>41171</v>
      </c>
      <c r="E44" s="135">
        <f t="shared" si="4"/>
        <v>6.1375000000000002</v>
      </c>
      <c r="F44" s="136">
        <v>982</v>
      </c>
      <c r="H44"/>
      <c r="I44"/>
      <c r="J44"/>
    </row>
    <row r="45" spans="2:10" x14ac:dyDescent="0.3">
      <c r="B45" s="123" t="s">
        <v>119</v>
      </c>
      <c r="C45" s="133" t="s">
        <v>120</v>
      </c>
      <c r="D45" s="134">
        <v>41175</v>
      </c>
      <c r="E45" s="135">
        <f t="shared" si="4"/>
        <v>6.0062499999999952</v>
      </c>
      <c r="F45" s="136">
        <v>960.9999999999992</v>
      </c>
      <c r="H45"/>
      <c r="I45"/>
      <c r="J45"/>
    </row>
    <row r="46" spans="2:10" x14ac:dyDescent="0.3">
      <c r="B46" s="123" t="s">
        <v>125</v>
      </c>
      <c r="C46" s="133" t="s">
        <v>84</v>
      </c>
      <c r="D46" s="134">
        <v>41248</v>
      </c>
      <c r="E46" s="135">
        <f t="shared" si="4"/>
        <v>5.96875</v>
      </c>
      <c r="F46" s="136">
        <v>955</v>
      </c>
      <c r="H46"/>
      <c r="I46"/>
      <c r="J46"/>
    </row>
    <row r="47" spans="2:10" x14ac:dyDescent="0.3">
      <c r="B47" s="123" t="s">
        <v>59</v>
      </c>
      <c r="C47" s="133" t="s">
        <v>84</v>
      </c>
      <c r="D47" s="134">
        <v>41255</v>
      </c>
      <c r="E47" s="135">
        <f t="shared" si="4"/>
        <v>6.4328124999999998</v>
      </c>
      <c r="F47" s="136">
        <v>1029.25</v>
      </c>
      <c r="H47"/>
      <c r="I47"/>
      <c r="J47"/>
    </row>
    <row r="48" spans="2:10" x14ac:dyDescent="0.3">
      <c r="B48" s="123" t="s">
        <v>64</v>
      </c>
      <c r="C48" s="133" t="s">
        <v>84</v>
      </c>
      <c r="D48" s="134">
        <v>41256</v>
      </c>
      <c r="E48" s="135">
        <f t="shared" si="4"/>
        <v>6.6218750000000002</v>
      </c>
      <c r="F48" s="136">
        <v>1059.5</v>
      </c>
      <c r="H48"/>
      <c r="I48"/>
      <c r="J48"/>
    </row>
    <row r="49" spans="2:10" x14ac:dyDescent="0.3">
      <c r="B49" s="123" t="s">
        <v>65</v>
      </c>
      <c r="C49" s="133" t="s">
        <v>85</v>
      </c>
      <c r="D49" s="134">
        <v>41492</v>
      </c>
      <c r="E49" s="135">
        <f t="shared" si="4"/>
        <v>3.78125</v>
      </c>
      <c r="F49" s="136">
        <v>605</v>
      </c>
      <c r="H49"/>
      <c r="I49"/>
      <c r="J49"/>
    </row>
    <row r="50" spans="2:10" x14ac:dyDescent="0.3">
      <c r="B50" s="123" t="s">
        <v>65</v>
      </c>
      <c r="C50" s="133" t="s">
        <v>85</v>
      </c>
      <c r="D50" s="134">
        <v>41493</v>
      </c>
      <c r="E50" s="135">
        <f t="shared" si="4"/>
        <v>4.5125000000000002</v>
      </c>
      <c r="F50" s="136">
        <v>722</v>
      </c>
      <c r="H50"/>
      <c r="I50"/>
      <c r="J50"/>
    </row>
    <row r="51" spans="2:10" x14ac:dyDescent="0.3">
      <c r="B51" s="123" t="s">
        <v>61</v>
      </c>
      <c r="C51" s="133" t="s">
        <v>85</v>
      </c>
      <c r="D51" s="134">
        <v>41497</v>
      </c>
      <c r="E51" s="135">
        <f t="shared" si="4"/>
        <v>5.46875</v>
      </c>
      <c r="F51" s="136">
        <v>875</v>
      </c>
      <c r="H51"/>
      <c r="I51"/>
      <c r="J51"/>
    </row>
    <row r="52" spans="2:10" x14ac:dyDescent="0.3">
      <c r="B52" s="123" t="s">
        <v>61</v>
      </c>
      <c r="C52" s="133" t="s">
        <v>85</v>
      </c>
      <c r="D52" s="134">
        <v>41498</v>
      </c>
      <c r="E52" s="135">
        <f t="shared" si="4"/>
        <v>5.9015624999999998</v>
      </c>
      <c r="F52" s="136">
        <v>944.25</v>
      </c>
      <c r="H52"/>
      <c r="I52"/>
      <c r="J52"/>
    </row>
    <row r="53" spans="2:10" x14ac:dyDescent="0.3">
      <c r="B53" s="123" t="s">
        <v>61</v>
      </c>
      <c r="C53" s="133" t="s">
        <v>85</v>
      </c>
      <c r="D53" s="134">
        <v>41499</v>
      </c>
      <c r="E53" s="135">
        <f t="shared" si="4"/>
        <v>5.5031249999999998</v>
      </c>
      <c r="F53" s="136">
        <v>880.5</v>
      </c>
      <c r="H53"/>
      <c r="I53"/>
      <c r="J53"/>
    </row>
    <row r="54" spans="2:10" x14ac:dyDescent="0.3">
      <c r="B54" s="123" t="s">
        <v>61</v>
      </c>
      <c r="C54" s="133" t="s">
        <v>85</v>
      </c>
      <c r="D54" s="134">
        <v>41499</v>
      </c>
      <c r="E54" s="135">
        <f t="shared" si="4"/>
        <v>3.8125</v>
      </c>
      <c r="F54" s="136">
        <v>610</v>
      </c>
      <c r="H54"/>
      <c r="I54"/>
      <c r="J54"/>
    </row>
    <row r="55" spans="2:10" x14ac:dyDescent="0.3">
      <c r="B55" s="123" t="s">
        <v>61</v>
      </c>
      <c r="C55" s="133" t="s">
        <v>85</v>
      </c>
      <c r="D55" s="134">
        <v>41500</v>
      </c>
      <c r="E55" s="135">
        <f t="shared" si="4"/>
        <v>4.3640625000000002</v>
      </c>
      <c r="F55" s="136">
        <v>698.25</v>
      </c>
      <c r="H55"/>
      <c r="I55"/>
      <c r="J55"/>
    </row>
    <row r="56" spans="2:10" x14ac:dyDescent="0.3">
      <c r="B56" s="123" t="s">
        <v>61</v>
      </c>
      <c r="C56" s="133" t="s">
        <v>85</v>
      </c>
      <c r="D56" s="134">
        <v>41501</v>
      </c>
      <c r="E56" s="135">
        <f t="shared" si="4"/>
        <v>3.9656250000000002</v>
      </c>
      <c r="F56" s="136">
        <v>634.5</v>
      </c>
      <c r="H56"/>
      <c r="I56"/>
      <c r="J56"/>
    </row>
    <row r="57" spans="2:10" x14ac:dyDescent="0.3">
      <c r="B57" s="123" t="s">
        <v>126</v>
      </c>
      <c r="C57" s="133" t="s">
        <v>123</v>
      </c>
      <c r="D57" s="134">
        <v>41510</v>
      </c>
      <c r="E57" s="135">
        <f t="shared" si="4"/>
        <v>5.3703124999999998</v>
      </c>
      <c r="F57" s="136">
        <v>859.25</v>
      </c>
      <c r="H57"/>
      <c r="I57"/>
      <c r="J57"/>
    </row>
    <row r="58" spans="2:10" x14ac:dyDescent="0.3">
      <c r="B58" s="123" t="s">
        <v>126</v>
      </c>
      <c r="C58" s="133" t="s">
        <v>123</v>
      </c>
      <c r="D58" s="134">
        <v>41514</v>
      </c>
      <c r="E58" s="135">
        <f t="shared" si="4"/>
        <v>4.7625000000000002</v>
      </c>
      <c r="F58" s="136">
        <v>762</v>
      </c>
      <c r="H58"/>
      <c r="I58"/>
      <c r="J58"/>
    </row>
    <row r="59" spans="2:10" x14ac:dyDescent="0.3">
      <c r="B59" s="123" t="s">
        <v>126</v>
      </c>
      <c r="C59" s="133" t="s">
        <v>123</v>
      </c>
      <c r="D59" s="134">
        <v>41515</v>
      </c>
      <c r="E59" s="135">
        <f t="shared" si="4"/>
        <v>3.8328125000000002</v>
      </c>
      <c r="F59" s="136">
        <v>613.25</v>
      </c>
      <c r="H59"/>
      <c r="I59"/>
      <c r="J59"/>
    </row>
    <row r="60" spans="2:10" x14ac:dyDescent="0.3">
      <c r="B60" s="123" t="s">
        <v>127</v>
      </c>
      <c r="C60" s="133" t="s">
        <v>123</v>
      </c>
      <c r="D60" s="134">
        <v>41516</v>
      </c>
      <c r="E60" s="135">
        <f t="shared" si="4"/>
        <v>3.8250000000000002</v>
      </c>
      <c r="F60" s="136">
        <v>612</v>
      </c>
      <c r="H60"/>
      <c r="I60"/>
      <c r="J60"/>
    </row>
    <row r="61" spans="2:10" x14ac:dyDescent="0.3">
      <c r="B61" s="123" t="s">
        <v>124</v>
      </c>
      <c r="C61" s="133" t="s">
        <v>120</v>
      </c>
      <c r="D61" s="134">
        <v>41521</v>
      </c>
      <c r="E61" s="135">
        <f t="shared" si="4"/>
        <v>5.7687499999999998</v>
      </c>
      <c r="F61" s="136">
        <v>923</v>
      </c>
      <c r="H61"/>
      <c r="I61"/>
      <c r="J61"/>
    </row>
    <row r="62" spans="2:10" x14ac:dyDescent="0.3">
      <c r="B62" s="123" t="s">
        <v>124</v>
      </c>
      <c r="C62" s="133" t="s">
        <v>120</v>
      </c>
      <c r="D62" s="134">
        <v>41522</v>
      </c>
      <c r="E62" s="135">
        <f t="shared" si="4"/>
        <v>4.5734374999999998</v>
      </c>
      <c r="F62" s="136">
        <v>731.75</v>
      </c>
      <c r="H62"/>
      <c r="I62"/>
      <c r="J62"/>
    </row>
    <row r="63" spans="2:10" x14ac:dyDescent="0.3">
      <c r="B63" s="123" t="s">
        <v>124</v>
      </c>
      <c r="C63" s="133" t="s">
        <v>120</v>
      </c>
      <c r="D63" s="134">
        <v>41524</v>
      </c>
      <c r="E63" s="135">
        <f t="shared" si="4"/>
        <v>3.3015625000000002</v>
      </c>
      <c r="F63" s="136">
        <v>528.25</v>
      </c>
      <c r="H63"/>
      <c r="I63"/>
      <c r="J63"/>
    </row>
    <row r="64" spans="2:10" x14ac:dyDescent="0.3">
      <c r="B64" s="123" t="s">
        <v>124</v>
      </c>
      <c r="C64" s="133" t="s">
        <v>120</v>
      </c>
      <c r="D64" s="134">
        <v>41525</v>
      </c>
      <c r="E64" s="135">
        <f t="shared" si="4"/>
        <v>3.1687500000000002</v>
      </c>
      <c r="F64" s="136">
        <v>507</v>
      </c>
      <c r="H64"/>
      <c r="I64"/>
      <c r="J64"/>
    </row>
    <row r="65" spans="2:10" x14ac:dyDescent="0.3">
      <c r="B65" s="123" t="s">
        <v>124</v>
      </c>
      <c r="C65" s="133" t="s">
        <v>120</v>
      </c>
      <c r="D65" s="134">
        <v>41526</v>
      </c>
      <c r="E65" s="135">
        <f t="shared" si="4"/>
        <v>4.2312500000000002</v>
      </c>
      <c r="F65" s="136">
        <v>677</v>
      </c>
      <c r="H65"/>
      <c r="I65"/>
      <c r="J65"/>
    </row>
    <row r="66" spans="2:10" x14ac:dyDescent="0.3">
      <c r="B66" s="123" t="s">
        <v>124</v>
      </c>
      <c r="C66" s="133" t="s">
        <v>120</v>
      </c>
      <c r="D66" s="134">
        <v>41530</v>
      </c>
      <c r="E66" s="135">
        <f t="shared" si="4"/>
        <v>5.8125</v>
      </c>
      <c r="F66" s="136">
        <v>930</v>
      </c>
      <c r="H66"/>
      <c r="I66"/>
      <c r="J66"/>
    </row>
    <row r="67" spans="2:10" x14ac:dyDescent="0.3">
      <c r="B67" s="123" t="s">
        <v>124</v>
      </c>
      <c r="C67" s="133" t="s">
        <v>120</v>
      </c>
      <c r="D67" s="134">
        <v>41530</v>
      </c>
      <c r="E67" s="135">
        <f t="shared" si="4"/>
        <v>5.4749999999999996</v>
      </c>
      <c r="F67" s="136">
        <v>876</v>
      </c>
      <c r="H67"/>
      <c r="I67"/>
      <c r="J67"/>
    </row>
    <row r="68" spans="2:10" x14ac:dyDescent="0.3">
      <c r="B68" s="123" t="s">
        <v>124</v>
      </c>
      <c r="C68" s="133" t="s">
        <v>120</v>
      </c>
      <c r="D68" s="134">
        <v>41531</v>
      </c>
      <c r="E68" s="135">
        <f t="shared" si="4"/>
        <v>5.6078124999999996</v>
      </c>
      <c r="F68" s="136">
        <v>897.25</v>
      </c>
      <c r="H68"/>
      <c r="I68"/>
      <c r="J68"/>
    </row>
    <row r="69" spans="2:10" x14ac:dyDescent="0.3">
      <c r="B69" s="123" t="s">
        <v>124</v>
      </c>
      <c r="C69" s="133" t="s">
        <v>120</v>
      </c>
      <c r="D69" s="134">
        <v>41532</v>
      </c>
      <c r="E69" s="135">
        <f t="shared" si="4"/>
        <v>5.3421874999999996</v>
      </c>
      <c r="F69" s="136">
        <v>854.75</v>
      </c>
      <c r="H69"/>
      <c r="I69"/>
      <c r="J69"/>
    </row>
    <row r="70" spans="2:10" x14ac:dyDescent="0.3">
      <c r="B70" s="123" t="s">
        <v>119</v>
      </c>
      <c r="C70" s="133" t="s">
        <v>120</v>
      </c>
      <c r="D70" s="134">
        <v>41533</v>
      </c>
      <c r="E70" s="135">
        <f t="shared" si="4"/>
        <v>5.3125</v>
      </c>
      <c r="F70" s="136">
        <v>850</v>
      </c>
      <c r="H70"/>
      <c r="I70"/>
      <c r="J70"/>
    </row>
    <row r="71" spans="2:10" x14ac:dyDescent="0.3">
      <c r="B71" s="123" t="s">
        <v>119</v>
      </c>
      <c r="C71" s="133" t="s">
        <v>120</v>
      </c>
      <c r="D71" s="134">
        <v>41535</v>
      </c>
      <c r="E71" s="135">
        <f t="shared" si="4"/>
        <v>5.2374999999999954</v>
      </c>
      <c r="F71" s="136">
        <v>837.9999999999992</v>
      </c>
      <c r="H71"/>
      <c r="I71"/>
      <c r="J71"/>
    </row>
    <row r="72" spans="2:10" x14ac:dyDescent="0.3">
      <c r="B72" s="123" t="s">
        <v>119</v>
      </c>
      <c r="C72" s="133" t="s">
        <v>120</v>
      </c>
      <c r="D72" s="134">
        <v>41537</v>
      </c>
      <c r="E72" s="135">
        <f t="shared" ref="E72:E89" si="5">F72/160</f>
        <v>3.6999999999999948</v>
      </c>
      <c r="F72" s="136">
        <v>591.9999999999992</v>
      </c>
      <c r="H72"/>
      <c r="I72"/>
      <c r="J72"/>
    </row>
    <row r="73" spans="2:10" x14ac:dyDescent="0.3">
      <c r="B73" s="123" t="s">
        <v>119</v>
      </c>
      <c r="C73" s="133" t="s">
        <v>120</v>
      </c>
      <c r="D73" s="134">
        <v>41538</v>
      </c>
      <c r="E73" s="135">
        <f t="shared" si="5"/>
        <v>3.4375</v>
      </c>
      <c r="F73" s="136">
        <v>550</v>
      </c>
      <c r="H73"/>
      <c r="I73"/>
      <c r="J73"/>
    </row>
    <row r="74" spans="2:10" x14ac:dyDescent="0.3">
      <c r="B74" s="123" t="s">
        <v>119</v>
      </c>
      <c r="C74" s="133" t="s">
        <v>120</v>
      </c>
      <c r="D74" s="134">
        <v>41539</v>
      </c>
      <c r="E74" s="135">
        <f t="shared" si="5"/>
        <v>4.7468750000000002</v>
      </c>
      <c r="F74" s="136">
        <v>759.5</v>
      </c>
      <c r="H74"/>
      <c r="I74"/>
      <c r="J74"/>
    </row>
    <row r="75" spans="2:10" x14ac:dyDescent="0.3">
      <c r="B75" s="123" t="s">
        <v>121</v>
      </c>
      <c r="C75" s="133" t="s">
        <v>120</v>
      </c>
      <c r="D75" s="134">
        <v>41542</v>
      </c>
      <c r="E75" s="135">
        <f t="shared" si="5"/>
        <v>4.8390624999999998</v>
      </c>
      <c r="F75" s="136">
        <v>774.25</v>
      </c>
      <c r="H75"/>
      <c r="I75"/>
      <c r="J75"/>
    </row>
    <row r="76" spans="2:10" x14ac:dyDescent="0.3">
      <c r="B76" s="123" t="s">
        <v>121</v>
      </c>
      <c r="C76" s="133" t="s">
        <v>120</v>
      </c>
      <c r="D76" s="134">
        <v>41543</v>
      </c>
      <c r="E76" s="135">
        <f t="shared" si="5"/>
        <v>4.7062499999999998</v>
      </c>
      <c r="F76" s="136">
        <v>753</v>
      </c>
      <c r="H76"/>
      <c r="I76"/>
      <c r="J76"/>
    </row>
    <row r="77" spans="2:10" x14ac:dyDescent="0.3">
      <c r="B77" s="123" t="s">
        <v>121</v>
      </c>
      <c r="C77" s="133" t="s">
        <v>120</v>
      </c>
      <c r="D77" s="134">
        <v>41546</v>
      </c>
      <c r="E77" s="135">
        <f t="shared" si="5"/>
        <v>4.1749999999999998</v>
      </c>
      <c r="F77" s="136">
        <v>668</v>
      </c>
      <c r="H77"/>
      <c r="I77"/>
      <c r="J77"/>
    </row>
    <row r="78" spans="2:10" x14ac:dyDescent="0.3">
      <c r="B78" s="123" t="s">
        <v>121</v>
      </c>
      <c r="C78" s="133" t="s">
        <v>120</v>
      </c>
      <c r="D78" s="134">
        <v>41548</v>
      </c>
      <c r="E78" s="135">
        <f t="shared" si="5"/>
        <v>5.8250000000000002</v>
      </c>
      <c r="F78" s="136">
        <v>932</v>
      </c>
      <c r="H78"/>
      <c r="I78"/>
      <c r="J78"/>
    </row>
    <row r="79" spans="2:10" x14ac:dyDescent="0.3">
      <c r="B79" s="123" t="s">
        <v>125</v>
      </c>
      <c r="C79" s="133" t="s">
        <v>84</v>
      </c>
      <c r="D79" s="134">
        <v>41553</v>
      </c>
      <c r="E79" s="135">
        <f t="shared" si="5"/>
        <v>5.8062500000000004</v>
      </c>
      <c r="F79" s="136">
        <v>929</v>
      </c>
      <c r="H79"/>
      <c r="I79"/>
      <c r="J79"/>
    </row>
    <row r="80" spans="2:10" x14ac:dyDescent="0.3">
      <c r="B80" s="123" t="s">
        <v>125</v>
      </c>
      <c r="C80" s="133" t="s">
        <v>84</v>
      </c>
      <c r="D80" s="134">
        <v>41554</v>
      </c>
      <c r="E80" s="135">
        <f t="shared" si="5"/>
        <v>4.0046875000000002</v>
      </c>
      <c r="F80" s="136">
        <v>640.75</v>
      </c>
      <c r="H80"/>
      <c r="I80"/>
      <c r="J80"/>
    </row>
    <row r="81" spans="2:13" x14ac:dyDescent="0.3">
      <c r="B81" s="123" t="s">
        <v>59</v>
      </c>
      <c r="C81" s="133" t="s">
        <v>84</v>
      </c>
      <c r="D81" s="134">
        <v>41555</v>
      </c>
      <c r="E81" s="135">
        <f t="shared" si="5"/>
        <v>4.9718749999999998</v>
      </c>
      <c r="F81" s="136">
        <v>795.5</v>
      </c>
      <c r="H81"/>
      <c r="I81"/>
      <c r="J81"/>
    </row>
    <row r="82" spans="2:13" x14ac:dyDescent="0.3">
      <c r="B82" s="123" t="s">
        <v>59</v>
      </c>
      <c r="C82" s="133" t="s">
        <v>84</v>
      </c>
      <c r="D82" s="134">
        <v>41556</v>
      </c>
      <c r="E82" s="135">
        <f t="shared" si="5"/>
        <v>4.4406249999999998</v>
      </c>
      <c r="F82" s="136">
        <v>710.5</v>
      </c>
      <c r="H82"/>
      <c r="I82"/>
      <c r="J82"/>
    </row>
    <row r="83" spans="2:13" x14ac:dyDescent="0.3">
      <c r="B83" s="123" t="s">
        <v>128</v>
      </c>
      <c r="C83" s="133" t="s">
        <v>84</v>
      </c>
      <c r="D83" s="134">
        <v>41567</v>
      </c>
      <c r="E83" s="135">
        <f t="shared" si="5"/>
        <v>3.4343750000000002</v>
      </c>
      <c r="F83" s="136">
        <v>549.5</v>
      </c>
      <c r="H83"/>
      <c r="I83"/>
      <c r="J83"/>
    </row>
    <row r="84" spans="2:13" x14ac:dyDescent="0.3">
      <c r="B84" s="123" t="s">
        <v>59</v>
      </c>
      <c r="C84" s="133" t="s">
        <v>84</v>
      </c>
      <c r="D84" s="134">
        <v>41590</v>
      </c>
      <c r="E84" s="135">
        <f t="shared" si="5"/>
        <v>4.8187499999999996</v>
      </c>
      <c r="F84" s="136">
        <v>771</v>
      </c>
      <c r="H84"/>
      <c r="I84"/>
      <c r="J84"/>
    </row>
    <row r="85" spans="2:13" x14ac:dyDescent="0.3">
      <c r="B85" s="123" t="s">
        <v>128</v>
      </c>
      <c r="C85" s="133" t="s">
        <v>84</v>
      </c>
      <c r="D85" s="134">
        <v>41599</v>
      </c>
      <c r="E85" s="135">
        <f t="shared" si="5"/>
        <v>5.7406249999999996</v>
      </c>
      <c r="F85" s="136">
        <v>918.5</v>
      </c>
      <c r="H85"/>
      <c r="I85"/>
      <c r="J85"/>
    </row>
    <row r="86" spans="2:13" x14ac:dyDescent="0.3">
      <c r="B86" s="123" t="s">
        <v>128</v>
      </c>
      <c r="C86" s="133" t="s">
        <v>84</v>
      </c>
      <c r="D86" s="134">
        <v>41600</v>
      </c>
      <c r="E86" s="135">
        <f t="shared" si="5"/>
        <v>5.2093749999999996</v>
      </c>
      <c r="F86" s="136">
        <v>833.5</v>
      </c>
      <c r="H86"/>
      <c r="I86"/>
      <c r="J86"/>
    </row>
    <row r="87" spans="2:13" x14ac:dyDescent="0.3">
      <c r="B87" s="123" t="s">
        <v>121</v>
      </c>
      <c r="C87" s="133" t="s">
        <v>120</v>
      </c>
      <c r="D87" s="134">
        <v>41611</v>
      </c>
      <c r="E87" s="135">
        <f t="shared" si="5"/>
        <v>4.9437499999999996</v>
      </c>
      <c r="F87" s="136">
        <v>791</v>
      </c>
      <c r="H87"/>
      <c r="I87"/>
      <c r="J87"/>
    </row>
    <row r="88" spans="2:13" x14ac:dyDescent="0.3">
      <c r="B88" s="123" t="s">
        <v>64</v>
      </c>
      <c r="C88" s="133" t="s">
        <v>84</v>
      </c>
      <c r="D88" s="134">
        <v>41622</v>
      </c>
      <c r="E88" s="135">
        <f t="shared" si="5"/>
        <v>4.4968749999999948</v>
      </c>
      <c r="F88" s="136">
        <v>719.4999999999992</v>
      </c>
      <c r="H88"/>
      <c r="I88"/>
      <c r="J88"/>
    </row>
    <row r="89" spans="2:13" x14ac:dyDescent="0.3">
      <c r="B89" s="123" t="s">
        <v>128</v>
      </c>
      <c r="C89" s="133" t="s">
        <v>84</v>
      </c>
      <c r="D89" s="134">
        <v>41627</v>
      </c>
      <c r="E89" s="135">
        <f t="shared" si="5"/>
        <v>4.8953125000000002</v>
      </c>
      <c r="F89" s="136">
        <v>783.25</v>
      </c>
      <c r="H89"/>
      <c r="I89"/>
      <c r="J89"/>
    </row>
    <row r="90" spans="2:13" x14ac:dyDescent="0.3">
      <c r="B90" s="141"/>
      <c r="C90" s="141"/>
      <c r="D90" s="141"/>
      <c r="E90" s="141"/>
      <c r="F90" s="141"/>
      <c r="H90"/>
      <c r="I90"/>
      <c r="J90"/>
    </row>
    <row r="91" spans="2:13" x14ac:dyDescent="0.3">
      <c r="B91" s="141"/>
      <c r="C91" s="141"/>
      <c r="D91" s="141"/>
      <c r="E91" s="141"/>
      <c r="F91" s="141"/>
      <c r="H91"/>
      <c r="I91"/>
      <c r="J91"/>
      <c r="L91" s="135">
        <f>3+9+7+6+5+3+3+4+6+5+6+5</f>
        <v>62</v>
      </c>
      <c r="M91" s="135"/>
    </row>
    <row r="92" spans="2:13" x14ac:dyDescent="0.3">
      <c r="B92" s="141"/>
      <c r="C92" s="141"/>
      <c r="D92" s="141"/>
      <c r="E92" s="141"/>
      <c r="F92" s="141"/>
      <c r="H92"/>
      <c r="I92"/>
      <c r="J92"/>
    </row>
    <row r="93" spans="2:13" x14ac:dyDescent="0.3">
      <c r="B93" s="141"/>
      <c r="C93" s="141"/>
      <c r="D93" s="141"/>
      <c r="E93" s="141"/>
      <c r="F93" s="141"/>
      <c r="H93"/>
      <c r="I93"/>
      <c r="J93"/>
    </row>
    <row r="94" spans="2:13" x14ac:dyDescent="0.3">
      <c r="B94" s="141"/>
      <c r="C94" s="141"/>
      <c r="D94" s="141"/>
      <c r="E94" s="141"/>
      <c r="F94" s="141"/>
      <c r="H94"/>
      <c r="I94"/>
      <c r="J94"/>
    </row>
    <row r="95" spans="2:13" x14ac:dyDescent="0.3">
      <c r="B95" s="141"/>
      <c r="C95" s="141"/>
      <c r="D95" s="141"/>
      <c r="E95" s="141"/>
      <c r="F95" s="141"/>
      <c r="H95"/>
      <c r="I95"/>
      <c r="J95"/>
    </row>
    <row r="96" spans="2:13" x14ac:dyDescent="0.3">
      <c r="B96" s="141"/>
      <c r="C96" s="141"/>
      <c r="D96" s="141"/>
      <c r="E96" s="141"/>
      <c r="F96" s="141"/>
      <c r="H96"/>
      <c r="I96"/>
      <c r="J96"/>
    </row>
    <row r="97" spans="2:10" x14ac:dyDescent="0.3">
      <c r="B97" s="141"/>
      <c r="C97" s="141"/>
      <c r="D97" s="141"/>
      <c r="E97" s="141"/>
      <c r="F97" s="141"/>
      <c r="H97"/>
      <c r="I97"/>
      <c r="J97"/>
    </row>
    <row r="98" spans="2:10" x14ac:dyDescent="0.3">
      <c r="B98" s="141"/>
      <c r="C98" s="141"/>
      <c r="D98" s="141"/>
      <c r="E98" s="141"/>
      <c r="F98" s="141"/>
      <c r="H98"/>
      <c r="I98"/>
      <c r="J98"/>
    </row>
    <row r="99" spans="2:10" x14ac:dyDescent="0.3">
      <c r="B99" s="141"/>
      <c r="C99" s="141"/>
      <c r="D99" s="141"/>
      <c r="E99" s="141"/>
      <c r="F99" s="141"/>
      <c r="H99"/>
      <c r="I99"/>
      <c r="J99"/>
    </row>
    <row r="100" spans="2:10" x14ac:dyDescent="0.3">
      <c r="B100" s="141"/>
      <c r="C100" s="141"/>
      <c r="D100" s="141"/>
      <c r="E100" s="141"/>
      <c r="F100" s="141"/>
      <c r="H100"/>
      <c r="I100"/>
      <c r="J100"/>
    </row>
    <row r="101" spans="2:10" x14ac:dyDescent="0.3">
      <c r="B101" s="141"/>
      <c r="C101" s="141"/>
      <c r="D101" s="141"/>
      <c r="E101" s="141"/>
      <c r="F101" s="141"/>
      <c r="H101"/>
      <c r="I101"/>
      <c r="J101"/>
    </row>
    <row r="102" spans="2:10" x14ac:dyDescent="0.3">
      <c r="B102" s="141"/>
      <c r="C102" s="141"/>
      <c r="D102" s="141"/>
      <c r="E102" s="141"/>
      <c r="F102" s="141"/>
      <c r="H102"/>
      <c r="I102"/>
      <c r="J102"/>
    </row>
    <row r="103" spans="2:10" x14ac:dyDescent="0.3">
      <c r="B103" s="141"/>
      <c r="C103" s="141"/>
      <c r="D103" s="141"/>
      <c r="E103" s="141"/>
      <c r="F103" s="141"/>
      <c r="H103"/>
      <c r="I103"/>
      <c r="J103"/>
    </row>
    <row r="104" spans="2:10" x14ac:dyDescent="0.3">
      <c r="B104" s="141"/>
      <c r="C104" s="141"/>
      <c r="D104" s="141"/>
      <c r="E104" s="141"/>
      <c r="F104" s="141"/>
      <c r="H104"/>
      <c r="I104"/>
      <c r="J104"/>
    </row>
    <row r="105" spans="2:10" x14ac:dyDescent="0.3">
      <c r="B105" s="141"/>
      <c r="C105" s="141"/>
      <c r="D105" s="141"/>
      <c r="E105" s="141"/>
      <c r="F105" s="141"/>
    </row>
    <row r="106" spans="2:10" x14ac:dyDescent="0.3">
      <c r="B106" s="141"/>
      <c r="C106" s="141"/>
      <c r="D106" s="141"/>
      <c r="E106" s="141"/>
      <c r="F106" s="141"/>
    </row>
    <row r="107" spans="2:10" x14ac:dyDescent="0.3">
      <c r="B107" s="141"/>
      <c r="C107" s="141"/>
      <c r="D107" s="141"/>
      <c r="E107" s="141"/>
      <c r="F107" s="141"/>
    </row>
    <row r="108" spans="2:10" x14ac:dyDescent="0.3">
      <c r="B108" s="141"/>
      <c r="C108" s="141"/>
      <c r="D108" s="141"/>
      <c r="E108" s="141"/>
      <c r="F108" s="141"/>
    </row>
    <row r="109" spans="2:10" x14ac:dyDescent="0.3">
      <c r="B109" s="141"/>
      <c r="C109" s="141"/>
      <c r="D109" s="141"/>
      <c r="E109" s="141"/>
      <c r="F109" s="141"/>
    </row>
    <row r="110" spans="2:10" x14ac:dyDescent="0.3">
      <c r="B110" s="141"/>
      <c r="C110" s="141"/>
      <c r="D110" s="141"/>
      <c r="E110" s="141"/>
      <c r="F110" s="141"/>
    </row>
    <row r="111" spans="2:10" x14ac:dyDescent="0.3">
      <c r="B111" s="141"/>
      <c r="C111" s="141"/>
      <c r="D111" s="141"/>
      <c r="E111" s="141"/>
      <c r="F111" s="141"/>
    </row>
    <row r="112" spans="2:10" x14ac:dyDescent="0.3">
      <c r="B112" s="141"/>
      <c r="C112" s="141"/>
      <c r="D112" s="141"/>
      <c r="E112" s="141"/>
      <c r="F112" s="141"/>
    </row>
    <row r="113" spans="2:6" x14ac:dyDescent="0.3">
      <c r="B113" s="141"/>
      <c r="C113" s="141"/>
      <c r="D113" s="141"/>
      <c r="E113" s="141"/>
      <c r="F113" s="141"/>
    </row>
    <row r="114" spans="2:6" x14ac:dyDescent="0.3">
      <c r="B114" s="141"/>
      <c r="C114" s="141"/>
      <c r="D114" s="141"/>
      <c r="E114" s="141"/>
      <c r="F114" s="141"/>
    </row>
    <row r="115" spans="2:6" x14ac:dyDescent="0.3">
      <c r="B115" s="141"/>
      <c r="C115" s="141"/>
      <c r="D115" s="141"/>
      <c r="E115" s="141"/>
      <c r="F115" s="141"/>
    </row>
    <row r="116" spans="2:6" x14ac:dyDescent="0.3">
      <c r="B116" s="141"/>
      <c r="C116" s="141"/>
      <c r="D116" s="141"/>
      <c r="E116" s="141"/>
      <c r="F116" s="141"/>
    </row>
    <row r="117" spans="2:6" x14ac:dyDescent="0.3">
      <c r="B117" s="141"/>
      <c r="C117" s="141"/>
      <c r="D117" s="141"/>
      <c r="E117" s="141"/>
      <c r="F117" s="141"/>
    </row>
    <row r="118" spans="2:6" x14ac:dyDescent="0.3">
      <c r="B118" s="141"/>
      <c r="C118" s="141"/>
      <c r="D118" s="141"/>
      <c r="E118" s="141"/>
      <c r="F118" s="141"/>
    </row>
    <row r="119" spans="2:6" x14ac:dyDescent="0.3">
      <c r="B119" s="141"/>
      <c r="C119" s="141"/>
      <c r="D119" s="141"/>
      <c r="E119" s="141"/>
      <c r="F119" s="141"/>
    </row>
    <row r="120" spans="2:6" x14ac:dyDescent="0.3">
      <c r="B120" s="141"/>
      <c r="C120" s="141"/>
      <c r="D120" s="141"/>
      <c r="E120" s="141"/>
      <c r="F120" s="141"/>
    </row>
    <row r="121" spans="2:6" x14ac:dyDescent="0.3">
      <c r="B121" s="141"/>
      <c r="C121" s="141"/>
      <c r="D121" s="141"/>
      <c r="E121" s="141"/>
      <c r="F121" s="141"/>
    </row>
    <row r="122" spans="2:6" x14ac:dyDescent="0.3">
      <c r="B122" s="141"/>
      <c r="C122" s="141"/>
      <c r="D122" s="141"/>
      <c r="E122" s="141"/>
      <c r="F122" s="141"/>
    </row>
    <row r="123" spans="2:6" x14ac:dyDescent="0.3">
      <c r="B123" s="141"/>
      <c r="C123" s="141"/>
      <c r="D123" s="141"/>
      <c r="E123" s="141"/>
      <c r="F123" s="141"/>
    </row>
    <row r="124" spans="2:6" x14ac:dyDescent="0.3">
      <c r="B124" s="141"/>
      <c r="C124" s="141"/>
      <c r="D124" s="141"/>
      <c r="E124" s="141"/>
      <c r="F124" s="141"/>
    </row>
    <row r="125" spans="2:6" x14ac:dyDescent="0.3">
      <c r="B125" s="141"/>
      <c r="C125" s="141"/>
      <c r="D125" s="141"/>
      <c r="E125" s="141"/>
      <c r="F125" s="141"/>
    </row>
    <row r="126" spans="2:6" x14ac:dyDescent="0.3">
      <c r="B126" s="141"/>
      <c r="C126" s="141"/>
      <c r="D126" s="141"/>
      <c r="E126" s="141"/>
      <c r="F126" s="141"/>
    </row>
    <row r="127" spans="2:6" x14ac:dyDescent="0.3">
      <c r="B127" s="141"/>
      <c r="C127" s="141"/>
      <c r="D127" s="141"/>
      <c r="E127" s="141"/>
      <c r="F127" s="141"/>
    </row>
    <row r="128" spans="2:6" x14ac:dyDescent="0.3">
      <c r="B128" s="141"/>
      <c r="C128" s="141"/>
      <c r="D128" s="141"/>
      <c r="E128" s="141"/>
      <c r="F128" s="141"/>
    </row>
    <row r="129" spans="2:6" x14ac:dyDescent="0.3">
      <c r="B129" s="141"/>
      <c r="C129" s="141"/>
      <c r="D129" s="141"/>
      <c r="E129" s="141"/>
      <c r="F129" s="141"/>
    </row>
    <row r="130" spans="2:6" x14ac:dyDescent="0.3">
      <c r="B130" s="141"/>
      <c r="C130" s="141"/>
      <c r="D130" s="141"/>
      <c r="E130" s="141"/>
      <c r="F130" s="141"/>
    </row>
    <row r="131" spans="2:6" x14ac:dyDescent="0.3">
      <c r="B131" s="141"/>
      <c r="C131" s="141"/>
      <c r="D131" s="141"/>
      <c r="E131" s="141"/>
      <c r="F131" s="141"/>
    </row>
    <row r="132" spans="2:6" x14ac:dyDescent="0.3">
      <c r="B132" s="141"/>
      <c r="C132" s="141"/>
      <c r="D132" s="141"/>
      <c r="E132" s="141"/>
      <c r="F132" s="141"/>
    </row>
    <row r="133" spans="2:6" x14ac:dyDescent="0.3">
      <c r="B133" s="141"/>
      <c r="C133" s="141"/>
      <c r="D133" s="141"/>
      <c r="E133" s="141"/>
      <c r="F133" s="141"/>
    </row>
    <row r="134" spans="2:6" x14ac:dyDescent="0.3">
      <c r="B134" s="141"/>
      <c r="C134" s="141"/>
      <c r="D134" s="141"/>
      <c r="E134" s="141"/>
      <c r="F134" s="141"/>
    </row>
    <row r="135" spans="2:6" x14ac:dyDescent="0.3">
      <c r="B135" s="141"/>
      <c r="C135" s="141"/>
      <c r="D135" s="141"/>
      <c r="E135" s="141"/>
      <c r="F135" s="141"/>
    </row>
    <row r="136" spans="2:6" x14ac:dyDescent="0.3">
      <c r="B136" s="141"/>
      <c r="C136" s="141"/>
      <c r="D136" s="141"/>
      <c r="E136" s="141"/>
      <c r="F136" s="141"/>
    </row>
    <row r="137" spans="2:6" x14ac:dyDescent="0.3">
      <c r="B137" s="141"/>
      <c r="C137" s="141"/>
      <c r="D137" s="141"/>
      <c r="E137" s="141"/>
      <c r="F137" s="141"/>
    </row>
    <row r="138" spans="2:6" x14ac:dyDescent="0.3">
      <c r="B138" s="141"/>
      <c r="C138" s="141"/>
      <c r="D138" s="141"/>
      <c r="E138" s="141"/>
      <c r="F138" s="141"/>
    </row>
    <row r="139" spans="2:6" x14ac:dyDescent="0.3">
      <c r="B139" s="141"/>
      <c r="C139" s="141"/>
      <c r="D139" s="141"/>
      <c r="E139" s="141"/>
      <c r="F139" s="141"/>
    </row>
    <row r="140" spans="2:6" x14ac:dyDescent="0.3">
      <c r="B140" s="141"/>
      <c r="C140" s="141"/>
      <c r="D140" s="141"/>
      <c r="E140" s="141"/>
      <c r="F140" s="141"/>
    </row>
    <row r="141" spans="2:6" x14ac:dyDescent="0.3">
      <c r="B141" s="141"/>
      <c r="C141" s="141"/>
      <c r="D141" s="141"/>
      <c r="E141" s="141"/>
      <c r="F141" s="141"/>
    </row>
    <row r="142" spans="2:6" x14ac:dyDescent="0.3">
      <c r="B142" s="141"/>
      <c r="C142" s="141"/>
      <c r="D142" s="141"/>
      <c r="E142" s="141"/>
      <c r="F142" s="141"/>
    </row>
    <row r="143" spans="2:6" x14ac:dyDescent="0.3">
      <c r="B143" s="141"/>
      <c r="C143" s="141"/>
      <c r="D143" s="141"/>
      <c r="E143" s="141"/>
      <c r="F143" s="141"/>
    </row>
    <row r="144" spans="2:6" x14ac:dyDescent="0.3">
      <c r="B144" s="141"/>
      <c r="C144" s="141"/>
      <c r="D144" s="141"/>
      <c r="E144" s="141"/>
      <c r="F144" s="141"/>
    </row>
    <row r="145" spans="2:6" x14ac:dyDescent="0.3">
      <c r="B145" s="141"/>
      <c r="C145" s="141"/>
      <c r="D145" s="141"/>
      <c r="E145" s="141"/>
      <c r="F145" s="141"/>
    </row>
    <row r="146" spans="2:6" x14ac:dyDescent="0.3">
      <c r="B146" s="141"/>
      <c r="C146" s="141"/>
      <c r="D146" s="141"/>
      <c r="E146" s="141"/>
      <c r="F146" s="141"/>
    </row>
    <row r="147" spans="2:6" x14ac:dyDescent="0.3">
      <c r="B147" s="141"/>
      <c r="C147" s="141"/>
      <c r="D147" s="141"/>
      <c r="E147" s="141"/>
      <c r="F147" s="141"/>
    </row>
    <row r="148" spans="2:6" x14ac:dyDescent="0.3">
      <c r="B148" s="141"/>
      <c r="C148" s="141"/>
      <c r="D148" s="141"/>
      <c r="E148" s="141"/>
      <c r="F148" s="141"/>
    </row>
    <row r="149" spans="2:6" x14ac:dyDescent="0.3">
      <c r="B149" s="141"/>
      <c r="C149" s="141"/>
      <c r="D149" s="141"/>
      <c r="E149" s="141"/>
      <c r="F149" s="141"/>
    </row>
    <row r="150" spans="2:6" x14ac:dyDescent="0.3">
      <c r="B150" s="141"/>
      <c r="C150" s="141"/>
      <c r="D150" s="141"/>
      <c r="E150" s="141"/>
      <c r="F150" s="141"/>
    </row>
    <row r="151" spans="2:6" x14ac:dyDescent="0.3">
      <c r="B151" s="141"/>
      <c r="C151" s="141"/>
      <c r="D151" s="141"/>
      <c r="E151" s="141"/>
      <c r="F151" s="141"/>
    </row>
    <row r="152" spans="2:6" x14ac:dyDescent="0.3">
      <c r="B152" s="141"/>
      <c r="C152" s="141"/>
      <c r="D152" s="141"/>
      <c r="E152" s="141"/>
      <c r="F152" s="141"/>
    </row>
    <row r="153" spans="2:6" x14ac:dyDescent="0.3">
      <c r="B153" s="141"/>
      <c r="C153" s="141"/>
      <c r="D153" s="141"/>
      <c r="E153" s="141"/>
      <c r="F153" s="141"/>
    </row>
    <row r="154" spans="2:6" x14ac:dyDescent="0.3">
      <c r="B154" s="141"/>
      <c r="C154" s="141"/>
      <c r="D154" s="141"/>
      <c r="E154" s="141"/>
      <c r="F154" s="141"/>
    </row>
    <row r="155" spans="2:6" x14ac:dyDescent="0.3">
      <c r="B155" s="141"/>
      <c r="C155" s="141"/>
      <c r="D155" s="141"/>
      <c r="E155" s="141"/>
      <c r="F155" s="141"/>
    </row>
    <row r="156" spans="2:6" x14ac:dyDescent="0.3">
      <c r="B156" s="141"/>
      <c r="C156" s="141"/>
      <c r="D156" s="141"/>
      <c r="E156" s="141"/>
      <c r="F156" s="141"/>
    </row>
    <row r="157" spans="2:6" x14ac:dyDescent="0.3">
      <c r="B157" s="141"/>
      <c r="C157" s="141"/>
      <c r="D157" s="141"/>
      <c r="E157" s="141"/>
      <c r="F157" s="141"/>
    </row>
    <row r="158" spans="2:6" x14ac:dyDescent="0.3">
      <c r="B158" s="141"/>
      <c r="C158" s="141"/>
      <c r="D158" s="141"/>
      <c r="E158" s="141"/>
      <c r="F158" s="141"/>
    </row>
  </sheetData>
  <autoFilter ref="H7:K19"/>
  <mergeCells count="2">
    <mergeCell ref="H6:K6"/>
    <mergeCell ref="N6:O6"/>
  </mergeCells>
  <pageMargins left="0.75" right="0.75" top="1" bottom="1" header="0.5" footer="0.5"/>
  <pageSetup scale="59" orientation="landscape" horizontalDpi="4294967292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2:R167"/>
  <sheetViews>
    <sheetView showGridLines="0" zoomScale="106" zoomScaleNormal="106" workbookViewId="0"/>
  </sheetViews>
  <sheetFormatPr defaultColWidth="9" defaultRowHeight="16.5" x14ac:dyDescent="0.3"/>
  <cols>
    <col min="1" max="1" width="3.625" style="121" customWidth="1"/>
    <col min="2" max="2" width="22.25" style="121" customWidth="1"/>
    <col min="3" max="3" width="17" style="121" customWidth="1"/>
    <col min="4" max="4" width="10.875" style="121" customWidth="1"/>
    <col min="5" max="5" width="12.5" style="121" customWidth="1"/>
    <col min="6" max="6" width="4" style="123" customWidth="1"/>
    <col min="7" max="8" width="24.125" style="123" customWidth="1"/>
    <col min="9" max="9" width="14.625" style="123" customWidth="1"/>
    <col min="10" max="10" width="3.125" style="123" customWidth="1"/>
    <col min="11" max="11" width="15.625" style="123" customWidth="1"/>
    <col min="12" max="12" width="9.875" style="121" bestFit="1" customWidth="1"/>
    <col min="13" max="16384" width="9" style="121"/>
  </cols>
  <sheetData>
    <row r="2" spans="2:17" x14ac:dyDescent="0.3">
      <c r="B2" s="34"/>
    </row>
    <row r="3" spans="2:17" x14ac:dyDescent="0.3">
      <c r="B3" s="34" t="s">
        <v>116</v>
      </c>
    </row>
    <row r="4" spans="2:17" ht="17.25" thickBot="1" x14ac:dyDescent="0.35"/>
    <row r="5" spans="2:17" ht="93.75" customHeight="1" x14ac:dyDescent="0.3">
      <c r="B5" s="124"/>
      <c r="C5" s="125" t="s">
        <v>216</v>
      </c>
      <c r="D5" s="126"/>
      <c r="E5" s="127"/>
    </row>
    <row r="6" spans="2:17" ht="22.5" customHeight="1" thickBot="1" x14ac:dyDescent="0.35">
      <c r="B6" s="128"/>
      <c r="C6" s="129"/>
      <c r="D6" s="129"/>
      <c r="E6" s="130"/>
      <c r="G6"/>
      <c r="H6"/>
      <c r="I6"/>
      <c r="J6"/>
      <c r="K6"/>
      <c r="L6"/>
      <c r="M6"/>
    </row>
    <row r="7" spans="2:17" ht="31.5" thickBot="1" x14ac:dyDescent="0.35">
      <c r="B7" s="131" t="s">
        <v>51</v>
      </c>
      <c r="C7" s="131" t="s">
        <v>82</v>
      </c>
      <c r="D7" s="131" t="s">
        <v>118</v>
      </c>
      <c r="E7" s="131" t="s">
        <v>83</v>
      </c>
      <c r="G7"/>
      <c r="H7"/>
      <c r="I7"/>
      <c r="J7"/>
      <c r="K7"/>
      <c r="L7"/>
    </row>
    <row r="8" spans="2:17" x14ac:dyDescent="0.3">
      <c r="B8" s="192" t="s">
        <v>65</v>
      </c>
      <c r="C8" s="193" t="s">
        <v>85</v>
      </c>
      <c r="D8" s="194">
        <v>33.703125</v>
      </c>
      <c r="E8" s="195">
        <v>5392.4999999999991</v>
      </c>
      <c r="G8"/>
      <c r="H8"/>
      <c r="I8"/>
      <c r="J8"/>
      <c r="K8"/>
      <c r="L8"/>
    </row>
    <row r="9" spans="2:17" x14ac:dyDescent="0.3">
      <c r="B9" s="196" t="s">
        <v>61</v>
      </c>
      <c r="C9" s="197" t="s">
        <v>85</v>
      </c>
      <c r="D9" s="198">
        <v>56.110937500000006</v>
      </c>
      <c r="E9" s="199">
        <v>8977.75</v>
      </c>
      <c r="G9"/>
      <c r="H9"/>
      <c r="I9"/>
      <c r="J9"/>
      <c r="K9"/>
      <c r="L9"/>
    </row>
    <row r="10" spans="2:17" x14ac:dyDescent="0.3">
      <c r="B10" s="196"/>
      <c r="C10" s="200" t="s">
        <v>241</v>
      </c>
      <c r="D10" s="198"/>
      <c r="E10" s="199">
        <f>SUM(E8:E9)</f>
        <v>14370.25</v>
      </c>
      <c r="G10"/>
      <c r="H10"/>
      <c r="I10"/>
      <c r="J10"/>
      <c r="K10"/>
      <c r="L10"/>
    </row>
    <row r="11" spans="2:17" x14ac:dyDescent="0.3">
      <c r="B11" s="196" t="s">
        <v>127</v>
      </c>
      <c r="C11" s="197" t="s">
        <v>123</v>
      </c>
      <c r="D11" s="198">
        <v>21.543749999999999</v>
      </c>
      <c r="E11" s="199">
        <v>3447</v>
      </c>
      <c r="G11"/>
      <c r="H11"/>
      <c r="I11"/>
      <c r="J11"/>
      <c r="K11"/>
      <c r="L11"/>
    </row>
    <row r="12" spans="2:17" x14ac:dyDescent="0.3">
      <c r="B12" s="196" t="s">
        <v>122</v>
      </c>
      <c r="C12" s="197" t="s">
        <v>123</v>
      </c>
      <c r="D12" s="198">
        <v>45.065624999999997</v>
      </c>
      <c r="E12" s="199">
        <v>7210.5</v>
      </c>
      <c r="G12"/>
      <c r="H12"/>
      <c r="I12"/>
      <c r="J12"/>
      <c r="K12"/>
      <c r="L12"/>
    </row>
    <row r="13" spans="2:17" x14ac:dyDescent="0.3">
      <c r="B13" s="196" t="s">
        <v>126</v>
      </c>
      <c r="C13" s="197" t="s">
        <v>123</v>
      </c>
      <c r="D13" s="198">
        <v>33.984375</v>
      </c>
      <c r="E13" s="199">
        <v>5437.5</v>
      </c>
      <c r="G13"/>
      <c r="H13"/>
      <c r="I13"/>
      <c r="J13"/>
      <c r="K13"/>
      <c r="L13"/>
      <c r="M13" s="137"/>
      <c r="N13" s="137"/>
      <c r="O13" s="137"/>
      <c r="P13" s="137"/>
      <c r="Q13" s="137"/>
    </row>
    <row r="14" spans="2:17" x14ac:dyDescent="0.3">
      <c r="B14" s="196"/>
      <c r="C14" s="200" t="s">
        <v>242</v>
      </c>
      <c r="D14" s="198"/>
      <c r="E14" s="199">
        <f>SUM(E11:E13)</f>
        <v>16095</v>
      </c>
      <c r="G14"/>
      <c r="H14"/>
      <c r="I14"/>
      <c r="J14"/>
      <c r="K14"/>
      <c r="L14"/>
      <c r="M14" s="137"/>
      <c r="N14" s="137"/>
      <c r="O14" s="137"/>
      <c r="P14" s="137"/>
      <c r="Q14" s="137"/>
    </row>
    <row r="15" spans="2:17" x14ac:dyDescent="0.3">
      <c r="B15" s="196" t="s">
        <v>124</v>
      </c>
      <c r="C15" s="197" t="s">
        <v>120</v>
      </c>
      <c r="D15" s="198">
        <v>61.760937500000011</v>
      </c>
      <c r="E15" s="199">
        <v>9881.75</v>
      </c>
      <c r="G15"/>
      <c r="H15"/>
      <c r="I15"/>
      <c r="J15"/>
      <c r="K15"/>
      <c r="L15"/>
      <c r="M15" s="137"/>
      <c r="N15" s="137"/>
      <c r="O15" s="137"/>
      <c r="P15" s="137"/>
      <c r="Q15" s="137"/>
    </row>
    <row r="16" spans="2:17" x14ac:dyDescent="0.3">
      <c r="B16" s="196" t="s">
        <v>121</v>
      </c>
      <c r="C16" s="197" t="s">
        <v>120</v>
      </c>
      <c r="D16" s="198">
        <v>50.120312500000004</v>
      </c>
      <c r="E16" s="199">
        <v>8019.25</v>
      </c>
      <c r="G16"/>
      <c r="H16"/>
      <c r="I16"/>
      <c r="J16"/>
      <c r="K16"/>
      <c r="L16"/>
      <c r="M16" s="137"/>
      <c r="N16" s="137"/>
      <c r="O16" s="137"/>
      <c r="P16" s="137"/>
      <c r="Q16" s="137"/>
    </row>
    <row r="17" spans="2:13" x14ac:dyDescent="0.3">
      <c r="B17" s="196" t="s">
        <v>119</v>
      </c>
      <c r="C17" s="197" t="s">
        <v>120</v>
      </c>
      <c r="D17" s="198">
        <v>50.54999999999999</v>
      </c>
      <c r="E17" s="199">
        <v>8087.9999999999973</v>
      </c>
      <c r="G17"/>
      <c r="H17"/>
      <c r="I17"/>
      <c r="J17"/>
      <c r="K17"/>
      <c r="L17"/>
      <c r="M17" s="140"/>
    </row>
    <row r="18" spans="2:13" x14ac:dyDescent="0.3">
      <c r="B18" s="196"/>
      <c r="C18" s="200" t="s">
        <v>204</v>
      </c>
      <c r="D18" s="198"/>
      <c r="E18" s="199">
        <f>SUM(E15:E17)</f>
        <v>25988.999999999996</v>
      </c>
      <c r="G18"/>
      <c r="H18"/>
      <c r="I18"/>
      <c r="J18"/>
      <c r="K18"/>
      <c r="L18"/>
      <c r="M18" s="140"/>
    </row>
    <row r="19" spans="2:13" x14ac:dyDescent="0.3">
      <c r="B19" s="196" t="s">
        <v>128</v>
      </c>
      <c r="C19" s="197" t="s">
        <v>84</v>
      </c>
      <c r="D19" s="198">
        <v>46.884374999999999</v>
      </c>
      <c r="E19" s="199">
        <v>7501.5</v>
      </c>
      <c r="G19"/>
      <c r="H19"/>
      <c r="I19"/>
      <c r="J19"/>
      <c r="K19"/>
      <c r="L19"/>
      <c r="M19" s="140"/>
    </row>
    <row r="20" spans="2:13" x14ac:dyDescent="0.3">
      <c r="B20" s="196" t="s">
        <v>125</v>
      </c>
      <c r="C20" s="197" t="s">
        <v>84</v>
      </c>
      <c r="D20" s="198">
        <v>23.939062500000002</v>
      </c>
      <c r="E20" s="199">
        <v>3830.25</v>
      </c>
      <c r="G20"/>
      <c r="H20"/>
      <c r="I20"/>
      <c r="J20"/>
      <c r="K20"/>
      <c r="L20"/>
      <c r="M20" s="140"/>
    </row>
    <row r="21" spans="2:13" x14ac:dyDescent="0.3">
      <c r="B21" s="196" t="s">
        <v>59</v>
      </c>
      <c r="C21" s="197" t="s">
        <v>84</v>
      </c>
      <c r="D21" s="198">
        <v>28.170312500000001</v>
      </c>
      <c r="E21" s="199">
        <v>4507.25</v>
      </c>
      <c r="G21"/>
      <c r="H21"/>
      <c r="I21"/>
      <c r="J21"/>
      <c r="K21"/>
      <c r="L21"/>
      <c r="M21" s="140"/>
    </row>
    <row r="22" spans="2:13" x14ac:dyDescent="0.3">
      <c r="B22" s="196" t="s">
        <v>64</v>
      </c>
      <c r="C22" s="197" t="s">
        <v>84</v>
      </c>
      <c r="D22" s="198">
        <v>36.684374999999996</v>
      </c>
      <c r="E22" s="199">
        <v>5869.4999999999991</v>
      </c>
      <c r="G22"/>
      <c r="H22"/>
      <c r="I22"/>
      <c r="J22"/>
      <c r="K22"/>
      <c r="L22"/>
      <c r="M22" s="140"/>
    </row>
    <row r="23" spans="2:13" x14ac:dyDescent="0.3">
      <c r="B23" s="196"/>
      <c r="C23" s="200" t="s">
        <v>196</v>
      </c>
      <c r="D23" s="198"/>
      <c r="E23" s="199">
        <f>SUM(E19:E22)</f>
        <v>21708.5</v>
      </c>
      <c r="G23"/>
      <c r="H23"/>
      <c r="I23"/>
      <c r="J23"/>
      <c r="K23"/>
      <c r="L23"/>
      <c r="M23" s="140"/>
    </row>
    <row r="24" spans="2:13" x14ac:dyDescent="0.3">
      <c r="B24" s="202" t="s">
        <v>195</v>
      </c>
      <c r="C24" s="203"/>
      <c r="D24" s="204">
        <f>SUM(D8:D23)</f>
        <v>488.51718749999998</v>
      </c>
      <c r="E24" s="199"/>
      <c r="G24"/>
      <c r="H24"/>
      <c r="I24"/>
      <c r="J24"/>
      <c r="K24"/>
      <c r="L24"/>
      <c r="M24" s="140"/>
    </row>
    <row r="25" spans="2:13" ht="17.25" thickBot="1" x14ac:dyDescent="0.35">
      <c r="B25" s="201"/>
      <c r="C25" s="205" t="s">
        <v>195</v>
      </c>
      <c r="D25" s="206"/>
      <c r="E25" s="207">
        <f>SUM(E23,E18,E14,E10)</f>
        <v>78162.75</v>
      </c>
      <c r="G25"/>
      <c r="H25"/>
      <c r="I25"/>
      <c r="J25"/>
      <c r="K25"/>
      <c r="L25"/>
      <c r="M25" s="140"/>
    </row>
    <row r="26" spans="2:13" x14ac:dyDescent="0.3">
      <c r="B26" s="123"/>
      <c r="C26" s="188"/>
      <c r="D26" s="135"/>
      <c r="E26" s="136"/>
      <c r="G26"/>
      <c r="H26"/>
      <c r="I26"/>
      <c r="J26"/>
      <c r="K26"/>
      <c r="L26"/>
      <c r="M26" s="140"/>
    </row>
    <row r="27" spans="2:13" x14ac:dyDescent="0.3">
      <c r="B27" s="191"/>
      <c r="C27" s="133"/>
      <c r="D27" s="135"/>
      <c r="E27" s="136"/>
      <c r="G27"/>
      <c r="H27"/>
      <c r="I27"/>
      <c r="J27"/>
      <c r="K27"/>
      <c r="L27"/>
    </row>
    <row r="28" spans="2:13" x14ac:dyDescent="0.3">
      <c r="B28" s="123"/>
      <c r="C28" s="188"/>
      <c r="D28" s="135"/>
      <c r="E28" s="136"/>
      <c r="G28"/>
      <c r="H28"/>
      <c r="I28"/>
      <c r="J28"/>
      <c r="K28"/>
      <c r="L28"/>
    </row>
    <row r="29" spans="2:13" x14ac:dyDescent="0.3">
      <c r="B29" s="123"/>
      <c r="C29" s="188"/>
      <c r="D29" s="135"/>
      <c r="E29" s="136"/>
      <c r="G29"/>
      <c r="H29"/>
      <c r="I29"/>
      <c r="J29"/>
      <c r="K29"/>
    </row>
    <row r="30" spans="2:13" x14ac:dyDescent="0.3">
      <c r="B30" s="123"/>
      <c r="D30" s="189"/>
      <c r="G30"/>
      <c r="H30"/>
    </row>
    <row r="31" spans="2:13" x14ac:dyDescent="0.3">
      <c r="B31" s="123"/>
      <c r="C31" s="188"/>
      <c r="D31" s="135"/>
      <c r="E31" s="136"/>
    </row>
    <row r="32" spans="2:13" x14ac:dyDescent="0.3">
      <c r="B32" s="123"/>
      <c r="C32" s="133"/>
      <c r="D32" s="135"/>
      <c r="E32" s="136"/>
    </row>
    <row r="33" spans="2:18" x14ac:dyDescent="0.3">
      <c r="B33" s="123"/>
      <c r="C33" s="133"/>
      <c r="D33" s="135"/>
      <c r="E33" s="136"/>
    </row>
    <row r="34" spans="2:18" x14ac:dyDescent="0.3">
      <c r="B34" s="123"/>
      <c r="C34" s="133"/>
      <c r="D34" s="135"/>
      <c r="E34" s="136"/>
    </row>
    <row r="35" spans="2:18" x14ac:dyDescent="0.3">
      <c r="B35" s="123"/>
      <c r="C35" s="133"/>
      <c r="D35" s="135"/>
      <c r="E35" s="136"/>
    </row>
    <row r="36" spans="2:18" x14ac:dyDescent="0.3">
      <c r="B36" s="123"/>
      <c r="C36" s="133"/>
      <c r="D36" s="135"/>
      <c r="E36" s="136"/>
    </row>
    <row r="37" spans="2:18" x14ac:dyDescent="0.3">
      <c r="B37" s="123"/>
      <c r="C37" s="133"/>
      <c r="D37" s="135"/>
      <c r="E37" s="136"/>
      <c r="G37"/>
      <c r="H37"/>
    </row>
    <row r="38" spans="2:18" x14ac:dyDescent="0.3">
      <c r="B38" s="123"/>
      <c r="C38" s="133"/>
      <c r="D38" s="135"/>
      <c r="E38" s="136"/>
      <c r="G38"/>
      <c r="H38"/>
      <c r="I38" s="138"/>
    </row>
    <row r="39" spans="2:18" x14ac:dyDescent="0.3">
      <c r="B39" s="123"/>
      <c r="C39" s="133"/>
      <c r="D39" s="135"/>
      <c r="E39" s="136"/>
      <c r="G39"/>
      <c r="H39"/>
    </row>
    <row r="40" spans="2:18" x14ac:dyDescent="0.3">
      <c r="B40" s="123"/>
      <c r="C40" s="133"/>
      <c r="D40" s="135"/>
      <c r="E40" s="136"/>
      <c r="G40"/>
      <c r="H40"/>
    </row>
    <row r="41" spans="2:18" x14ac:dyDescent="0.3">
      <c r="B41" s="123"/>
      <c r="C41" s="133"/>
      <c r="D41" s="135"/>
      <c r="E41" s="136"/>
      <c r="G41"/>
      <c r="H41"/>
      <c r="I41" s="138"/>
    </row>
    <row r="42" spans="2:18" s="123" customFormat="1" x14ac:dyDescent="0.3">
      <c r="C42" s="133"/>
      <c r="D42" s="135"/>
      <c r="E42" s="136"/>
      <c r="G42"/>
      <c r="H42"/>
      <c r="L42" s="121"/>
      <c r="M42" s="121"/>
      <c r="N42" s="121"/>
      <c r="O42" s="121"/>
      <c r="P42" s="121"/>
      <c r="Q42" s="121"/>
      <c r="R42" s="121"/>
    </row>
    <row r="43" spans="2:18" s="123" customFormat="1" x14ac:dyDescent="0.3">
      <c r="C43" s="133"/>
      <c r="D43" s="135"/>
      <c r="E43" s="136"/>
      <c r="G43"/>
      <c r="H43"/>
      <c r="L43" s="121"/>
      <c r="M43" s="121"/>
      <c r="N43" s="121"/>
      <c r="O43" s="121"/>
      <c r="P43" s="121"/>
      <c r="Q43" s="121"/>
      <c r="R43" s="121"/>
    </row>
    <row r="44" spans="2:18" s="123" customFormat="1" x14ac:dyDescent="0.3">
      <c r="C44" s="133"/>
      <c r="D44" s="135"/>
      <c r="E44" s="136"/>
      <c r="G44"/>
      <c r="H44"/>
      <c r="L44" s="121"/>
      <c r="M44" s="121"/>
      <c r="N44" s="121"/>
      <c r="O44" s="121"/>
      <c r="P44" s="121"/>
      <c r="Q44" s="121"/>
      <c r="R44" s="121"/>
    </row>
    <row r="45" spans="2:18" s="123" customFormat="1" x14ac:dyDescent="0.3">
      <c r="C45" s="133"/>
      <c r="D45" s="135"/>
      <c r="E45" s="136"/>
      <c r="G45"/>
      <c r="H45"/>
      <c r="L45" s="121"/>
      <c r="M45" s="121"/>
      <c r="N45" s="121"/>
      <c r="O45" s="121"/>
      <c r="P45" s="121"/>
      <c r="Q45" s="121"/>
      <c r="R45" s="121"/>
    </row>
    <row r="46" spans="2:18" s="123" customFormat="1" x14ac:dyDescent="0.3">
      <c r="C46" s="133"/>
      <c r="D46" s="135"/>
      <c r="E46" s="136"/>
      <c r="G46"/>
      <c r="H46"/>
      <c r="L46" s="121"/>
      <c r="M46" s="121"/>
      <c r="N46" s="121"/>
      <c r="O46" s="121"/>
      <c r="P46" s="121"/>
      <c r="Q46" s="121"/>
      <c r="R46" s="121"/>
    </row>
    <row r="47" spans="2:18" s="123" customFormat="1" x14ac:dyDescent="0.3">
      <c r="C47" s="133"/>
      <c r="D47" s="135"/>
      <c r="E47" s="136"/>
      <c r="G47"/>
      <c r="H47"/>
      <c r="L47" s="121"/>
      <c r="M47" s="121"/>
      <c r="N47" s="121"/>
      <c r="O47" s="121"/>
      <c r="P47" s="121"/>
      <c r="Q47" s="121"/>
      <c r="R47" s="121"/>
    </row>
    <row r="48" spans="2:18" s="123" customFormat="1" x14ac:dyDescent="0.3">
      <c r="C48" s="133"/>
      <c r="D48" s="135"/>
      <c r="E48" s="136"/>
      <c r="G48"/>
      <c r="H48"/>
      <c r="L48" s="121"/>
      <c r="M48" s="121"/>
      <c r="N48" s="121"/>
      <c r="O48" s="121"/>
      <c r="P48" s="121"/>
      <c r="Q48" s="121"/>
      <c r="R48" s="121"/>
    </row>
    <row r="49" spans="3:18" s="123" customFormat="1" x14ac:dyDescent="0.3">
      <c r="C49" s="133"/>
      <c r="D49" s="135"/>
      <c r="E49" s="136"/>
      <c r="G49"/>
      <c r="H49"/>
      <c r="L49" s="121"/>
      <c r="M49" s="121"/>
      <c r="N49" s="121"/>
      <c r="O49" s="121"/>
      <c r="P49" s="121"/>
      <c r="Q49" s="121"/>
      <c r="R49" s="121"/>
    </row>
    <row r="50" spans="3:18" s="123" customFormat="1" x14ac:dyDescent="0.3">
      <c r="C50" s="133"/>
      <c r="D50" s="135"/>
      <c r="E50" s="136"/>
      <c r="G50"/>
      <c r="H50"/>
      <c r="L50" s="121"/>
      <c r="M50" s="121"/>
      <c r="N50" s="121"/>
      <c r="O50" s="121"/>
      <c r="P50" s="121"/>
      <c r="Q50" s="121"/>
      <c r="R50" s="121"/>
    </row>
    <row r="51" spans="3:18" s="123" customFormat="1" x14ac:dyDescent="0.3">
      <c r="C51" s="133"/>
      <c r="D51" s="135"/>
      <c r="E51" s="136"/>
      <c r="G51"/>
      <c r="H51"/>
      <c r="L51" s="121"/>
      <c r="M51" s="121"/>
      <c r="N51" s="121"/>
      <c r="O51" s="121"/>
      <c r="P51" s="121"/>
      <c r="Q51" s="121"/>
      <c r="R51" s="121"/>
    </row>
    <row r="52" spans="3:18" s="123" customFormat="1" x14ac:dyDescent="0.3">
      <c r="C52" s="133"/>
      <c r="D52" s="135"/>
      <c r="E52" s="136"/>
      <c r="G52"/>
      <c r="H52"/>
      <c r="L52" s="121"/>
      <c r="M52" s="121"/>
      <c r="N52" s="121"/>
      <c r="O52" s="121"/>
      <c r="P52" s="121"/>
      <c r="Q52" s="121"/>
      <c r="R52" s="121"/>
    </row>
    <row r="53" spans="3:18" s="123" customFormat="1" x14ac:dyDescent="0.3">
      <c r="C53" s="133"/>
      <c r="D53" s="135"/>
      <c r="E53" s="136"/>
      <c r="G53"/>
      <c r="H53"/>
      <c r="L53" s="121"/>
      <c r="M53" s="121"/>
      <c r="N53" s="121"/>
      <c r="O53" s="121"/>
      <c r="P53" s="121"/>
      <c r="Q53" s="121"/>
      <c r="R53" s="121"/>
    </row>
    <row r="54" spans="3:18" s="123" customFormat="1" x14ac:dyDescent="0.3">
      <c r="C54" s="133"/>
      <c r="D54" s="135"/>
      <c r="E54" s="136"/>
      <c r="G54"/>
      <c r="H54"/>
      <c r="L54" s="121"/>
      <c r="M54" s="121"/>
      <c r="N54" s="121"/>
      <c r="O54" s="121"/>
      <c r="P54" s="121"/>
      <c r="Q54" s="121"/>
      <c r="R54" s="121"/>
    </row>
    <row r="55" spans="3:18" s="123" customFormat="1" x14ac:dyDescent="0.3">
      <c r="C55" s="133"/>
      <c r="D55" s="135"/>
      <c r="E55" s="136"/>
      <c r="G55"/>
      <c r="H55"/>
      <c r="L55" s="121"/>
      <c r="M55" s="121"/>
      <c r="N55" s="121"/>
      <c r="O55" s="121"/>
      <c r="P55" s="121"/>
      <c r="Q55" s="121"/>
      <c r="R55" s="121"/>
    </row>
    <row r="56" spans="3:18" s="123" customFormat="1" x14ac:dyDescent="0.3">
      <c r="C56" s="133"/>
      <c r="D56" s="135"/>
      <c r="E56" s="136"/>
      <c r="G56"/>
      <c r="H56"/>
      <c r="L56" s="121"/>
      <c r="M56" s="121"/>
      <c r="N56" s="121"/>
      <c r="O56" s="121"/>
      <c r="P56" s="121"/>
      <c r="Q56" s="121"/>
      <c r="R56" s="121"/>
    </row>
    <row r="57" spans="3:18" s="123" customFormat="1" x14ac:dyDescent="0.3">
      <c r="C57" s="133"/>
      <c r="D57" s="135"/>
      <c r="E57" s="136"/>
      <c r="G57"/>
      <c r="H57"/>
      <c r="L57" s="121"/>
      <c r="M57" s="121"/>
      <c r="N57" s="121"/>
      <c r="O57" s="121"/>
      <c r="P57" s="121"/>
      <c r="Q57" s="121"/>
      <c r="R57" s="121"/>
    </row>
    <row r="58" spans="3:18" s="123" customFormat="1" x14ac:dyDescent="0.3">
      <c r="C58" s="133"/>
      <c r="D58" s="135"/>
      <c r="E58" s="136"/>
      <c r="G58"/>
      <c r="H58"/>
      <c r="L58" s="121"/>
      <c r="M58" s="121"/>
      <c r="N58" s="121"/>
      <c r="O58" s="121"/>
      <c r="P58" s="121"/>
      <c r="Q58" s="121"/>
      <c r="R58" s="121"/>
    </row>
    <row r="59" spans="3:18" s="123" customFormat="1" x14ac:dyDescent="0.3">
      <c r="C59" s="133"/>
      <c r="D59" s="135"/>
      <c r="E59" s="136"/>
      <c r="G59"/>
      <c r="H59"/>
      <c r="L59" s="121"/>
      <c r="M59" s="121"/>
      <c r="N59" s="121"/>
      <c r="O59" s="121"/>
      <c r="P59" s="121"/>
      <c r="Q59" s="121"/>
      <c r="R59" s="121"/>
    </row>
    <row r="60" spans="3:18" s="123" customFormat="1" x14ac:dyDescent="0.3">
      <c r="C60" s="133"/>
      <c r="D60" s="135"/>
      <c r="E60" s="136"/>
      <c r="G60"/>
      <c r="H60"/>
      <c r="L60" s="121"/>
      <c r="M60" s="121"/>
      <c r="N60" s="121"/>
      <c r="O60" s="121"/>
      <c r="P60" s="121"/>
      <c r="Q60" s="121"/>
      <c r="R60" s="121"/>
    </row>
    <row r="61" spans="3:18" s="123" customFormat="1" x14ac:dyDescent="0.3">
      <c r="C61" s="133"/>
      <c r="D61" s="135"/>
      <c r="E61" s="136"/>
      <c r="G61"/>
      <c r="H61"/>
      <c r="L61" s="121"/>
      <c r="M61" s="121"/>
      <c r="N61" s="121"/>
      <c r="O61" s="121"/>
      <c r="P61" s="121"/>
      <c r="Q61" s="121"/>
      <c r="R61" s="121"/>
    </row>
    <row r="62" spans="3:18" s="123" customFormat="1" x14ac:dyDescent="0.3">
      <c r="C62" s="133"/>
      <c r="D62" s="135"/>
      <c r="E62" s="136"/>
      <c r="G62"/>
      <c r="H62"/>
      <c r="L62" s="121"/>
      <c r="M62" s="121"/>
      <c r="N62" s="121"/>
      <c r="O62" s="121"/>
      <c r="P62" s="121"/>
      <c r="Q62" s="121"/>
      <c r="R62" s="121"/>
    </row>
    <row r="63" spans="3:18" s="123" customFormat="1" x14ac:dyDescent="0.3">
      <c r="C63" s="133"/>
      <c r="D63" s="135"/>
      <c r="E63" s="136"/>
      <c r="G63"/>
      <c r="H63"/>
      <c r="L63" s="121"/>
      <c r="M63" s="121"/>
      <c r="N63" s="121"/>
      <c r="O63" s="121"/>
      <c r="P63" s="121"/>
      <c r="Q63" s="121"/>
      <c r="R63" s="121"/>
    </row>
    <row r="64" spans="3:18" s="123" customFormat="1" x14ac:dyDescent="0.3">
      <c r="C64" s="133"/>
      <c r="D64" s="135"/>
      <c r="E64" s="136"/>
      <c r="G64"/>
      <c r="H64"/>
      <c r="L64" s="121"/>
      <c r="M64" s="121"/>
      <c r="N64" s="121"/>
      <c r="O64" s="121"/>
      <c r="P64" s="121"/>
      <c r="Q64" s="121"/>
      <c r="R64" s="121"/>
    </row>
    <row r="65" spans="3:18" s="123" customFormat="1" x14ac:dyDescent="0.3">
      <c r="C65" s="133"/>
      <c r="D65" s="135"/>
      <c r="E65" s="136"/>
      <c r="G65"/>
      <c r="H65"/>
      <c r="L65" s="121"/>
      <c r="M65" s="121"/>
      <c r="N65" s="121"/>
      <c r="O65" s="121"/>
      <c r="P65" s="121"/>
      <c r="Q65" s="121"/>
      <c r="R65" s="121"/>
    </row>
    <row r="66" spans="3:18" s="123" customFormat="1" x14ac:dyDescent="0.3">
      <c r="C66" s="133"/>
      <c r="D66" s="135"/>
      <c r="E66" s="136"/>
      <c r="G66"/>
      <c r="H66"/>
      <c r="L66" s="121"/>
      <c r="M66" s="121"/>
      <c r="N66" s="121"/>
      <c r="O66" s="121"/>
      <c r="P66" s="121"/>
      <c r="Q66" s="121"/>
      <c r="R66" s="121"/>
    </row>
    <row r="67" spans="3:18" s="123" customFormat="1" x14ac:dyDescent="0.3">
      <c r="C67" s="133"/>
      <c r="D67" s="135"/>
      <c r="E67" s="136"/>
      <c r="G67"/>
      <c r="H67"/>
      <c r="L67" s="121"/>
      <c r="M67" s="121"/>
      <c r="N67" s="121"/>
      <c r="O67" s="121"/>
      <c r="P67" s="121"/>
      <c r="Q67" s="121"/>
      <c r="R67" s="121"/>
    </row>
    <row r="68" spans="3:18" s="123" customFormat="1" x14ac:dyDescent="0.3">
      <c r="C68" s="133"/>
      <c r="D68" s="135"/>
      <c r="E68" s="136"/>
      <c r="G68"/>
      <c r="H68"/>
      <c r="L68" s="121"/>
      <c r="M68" s="121"/>
      <c r="N68" s="121"/>
      <c r="O68" s="121"/>
      <c r="P68" s="121"/>
      <c r="Q68" s="121"/>
      <c r="R68" s="121"/>
    </row>
    <row r="69" spans="3:18" s="123" customFormat="1" x14ac:dyDescent="0.3">
      <c r="C69" s="133"/>
      <c r="D69" s="135"/>
      <c r="E69" s="136"/>
      <c r="G69"/>
      <c r="H69"/>
      <c r="L69" s="121"/>
      <c r="M69" s="121"/>
      <c r="N69" s="121"/>
      <c r="O69" s="121"/>
      <c r="P69" s="121"/>
      <c r="Q69" s="121"/>
      <c r="R69" s="121"/>
    </row>
    <row r="70" spans="3:18" s="123" customFormat="1" x14ac:dyDescent="0.3">
      <c r="C70" s="133"/>
      <c r="D70" s="135"/>
      <c r="E70" s="136"/>
      <c r="G70"/>
      <c r="H70"/>
      <c r="L70" s="121"/>
      <c r="M70" s="121"/>
      <c r="N70" s="121"/>
      <c r="O70" s="121"/>
      <c r="P70" s="121"/>
      <c r="Q70" s="121"/>
      <c r="R70" s="121"/>
    </row>
    <row r="71" spans="3:18" s="123" customFormat="1" x14ac:dyDescent="0.3">
      <c r="C71" s="133"/>
      <c r="D71" s="135"/>
      <c r="E71" s="136"/>
      <c r="G71"/>
      <c r="H71"/>
      <c r="L71" s="121"/>
      <c r="M71" s="121"/>
      <c r="N71" s="121"/>
      <c r="O71" s="121"/>
      <c r="P71" s="121"/>
      <c r="Q71" s="121"/>
      <c r="R71" s="121"/>
    </row>
    <row r="72" spans="3:18" s="123" customFormat="1" x14ac:dyDescent="0.3">
      <c r="C72" s="133"/>
      <c r="D72" s="135"/>
      <c r="E72" s="136"/>
      <c r="G72"/>
      <c r="H72"/>
      <c r="L72" s="121"/>
      <c r="M72" s="121"/>
      <c r="N72" s="121"/>
      <c r="O72" s="121"/>
      <c r="P72" s="121"/>
      <c r="Q72" s="121"/>
      <c r="R72" s="121"/>
    </row>
    <row r="73" spans="3:18" s="123" customFormat="1" x14ac:dyDescent="0.3">
      <c r="C73" s="133"/>
      <c r="D73" s="135"/>
      <c r="E73" s="136"/>
      <c r="G73"/>
      <c r="H73"/>
      <c r="L73" s="121"/>
      <c r="M73" s="121"/>
      <c r="N73" s="121"/>
      <c r="O73" s="121"/>
      <c r="P73" s="121"/>
      <c r="Q73" s="121"/>
      <c r="R73" s="121"/>
    </row>
    <row r="74" spans="3:18" s="123" customFormat="1" x14ac:dyDescent="0.3">
      <c r="C74" s="133"/>
      <c r="D74" s="135"/>
      <c r="E74" s="136"/>
      <c r="G74"/>
      <c r="H74"/>
      <c r="L74" s="121"/>
      <c r="M74" s="121"/>
      <c r="N74" s="121"/>
      <c r="O74" s="121"/>
      <c r="P74" s="121"/>
      <c r="Q74" s="121"/>
      <c r="R74" s="121"/>
    </row>
    <row r="75" spans="3:18" s="123" customFormat="1" x14ac:dyDescent="0.3">
      <c r="C75" s="133"/>
      <c r="D75" s="135"/>
      <c r="E75" s="136"/>
      <c r="G75"/>
      <c r="H75"/>
      <c r="L75" s="121"/>
      <c r="M75" s="121"/>
      <c r="N75" s="121"/>
      <c r="O75" s="121"/>
      <c r="P75" s="121"/>
      <c r="Q75" s="121"/>
      <c r="R75" s="121"/>
    </row>
    <row r="76" spans="3:18" s="123" customFormat="1" x14ac:dyDescent="0.3">
      <c r="C76" s="133"/>
      <c r="D76" s="135"/>
      <c r="E76" s="136"/>
      <c r="G76"/>
      <c r="H76"/>
      <c r="L76" s="121"/>
      <c r="M76" s="121"/>
      <c r="N76" s="121"/>
      <c r="O76" s="121"/>
      <c r="P76" s="121"/>
      <c r="Q76" s="121"/>
      <c r="R76" s="121"/>
    </row>
    <row r="77" spans="3:18" s="123" customFormat="1" x14ac:dyDescent="0.3">
      <c r="C77" s="133"/>
      <c r="D77" s="135"/>
      <c r="E77" s="136"/>
      <c r="G77"/>
      <c r="H77"/>
      <c r="L77" s="121"/>
      <c r="M77" s="121"/>
      <c r="N77" s="121"/>
      <c r="O77" s="121"/>
      <c r="P77" s="121"/>
      <c r="Q77" s="121"/>
      <c r="R77" s="121"/>
    </row>
    <row r="78" spans="3:18" s="123" customFormat="1" x14ac:dyDescent="0.3">
      <c r="C78" s="133"/>
      <c r="D78" s="135"/>
      <c r="E78" s="136"/>
      <c r="G78"/>
      <c r="H78"/>
      <c r="L78" s="121"/>
      <c r="M78" s="121"/>
      <c r="N78" s="121"/>
      <c r="O78" s="121"/>
      <c r="P78" s="121"/>
      <c r="Q78" s="121"/>
      <c r="R78" s="121"/>
    </row>
    <row r="79" spans="3:18" s="123" customFormat="1" x14ac:dyDescent="0.3">
      <c r="C79" s="133"/>
      <c r="D79" s="135"/>
      <c r="E79" s="136"/>
      <c r="G79"/>
      <c r="H79"/>
      <c r="L79" s="121"/>
      <c r="M79" s="121"/>
      <c r="N79" s="121"/>
      <c r="O79" s="121"/>
      <c r="P79" s="121"/>
      <c r="Q79" s="121"/>
      <c r="R79" s="121"/>
    </row>
    <row r="80" spans="3:18" s="123" customFormat="1" x14ac:dyDescent="0.3">
      <c r="C80" s="133"/>
      <c r="D80" s="135"/>
      <c r="E80" s="136"/>
      <c r="G80"/>
      <c r="H80"/>
      <c r="L80" s="121"/>
      <c r="M80" s="121"/>
      <c r="N80" s="121"/>
      <c r="O80" s="121"/>
      <c r="P80" s="121"/>
      <c r="Q80" s="121"/>
      <c r="R80" s="121"/>
    </row>
    <row r="81" spans="3:18" s="123" customFormat="1" x14ac:dyDescent="0.3">
      <c r="C81" s="133"/>
      <c r="D81" s="135"/>
      <c r="E81" s="136"/>
      <c r="G81"/>
      <c r="H81"/>
      <c r="L81" s="121"/>
      <c r="M81" s="121"/>
      <c r="N81" s="121"/>
      <c r="O81" s="121"/>
      <c r="P81" s="121"/>
      <c r="Q81" s="121"/>
      <c r="R81" s="121"/>
    </row>
    <row r="82" spans="3:18" s="123" customFormat="1" x14ac:dyDescent="0.3">
      <c r="C82" s="133"/>
      <c r="D82" s="135"/>
      <c r="E82" s="136"/>
      <c r="G82"/>
      <c r="H82"/>
      <c r="L82" s="121"/>
      <c r="M82" s="121"/>
      <c r="N82" s="121"/>
      <c r="O82" s="121"/>
      <c r="P82" s="121"/>
      <c r="Q82" s="121"/>
      <c r="R82" s="121"/>
    </row>
    <row r="83" spans="3:18" s="123" customFormat="1" x14ac:dyDescent="0.3">
      <c r="C83" s="133"/>
      <c r="D83" s="135"/>
      <c r="E83" s="136"/>
      <c r="G83"/>
      <c r="H83"/>
      <c r="L83" s="121"/>
      <c r="M83" s="121"/>
      <c r="N83" s="121"/>
      <c r="O83" s="121"/>
      <c r="P83" s="121"/>
      <c r="Q83" s="121"/>
      <c r="R83" s="121"/>
    </row>
    <row r="84" spans="3:18" s="123" customFormat="1" x14ac:dyDescent="0.3">
      <c r="C84" s="133"/>
      <c r="D84" s="135"/>
      <c r="E84" s="136"/>
      <c r="G84"/>
      <c r="H84"/>
      <c r="L84" s="121"/>
      <c r="M84" s="121"/>
      <c r="N84" s="121"/>
      <c r="O84" s="121"/>
      <c r="P84" s="121"/>
      <c r="Q84" s="121"/>
      <c r="R84" s="121"/>
    </row>
    <row r="85" spans="3:18" s="123" customFormat="1" x14ac:dyDescent="0.3">
      <c r="C85" s="133"/>
      <c r="D85" s="135"/>
      <c r="E85" s="136"/>
      <c r="G85"/>
      <c r="H85"/>
      <c r="L85" s="121"/>
      <c r="M85" s="121"/>
      <c r="N85" s="121"/>
      <c r="O85" s="121"/>
      <c r="P85" s="121"/>
      <c r="Q85" s="121"/>
      <c r="R85" s="121"/>
    </row>
    <row r="86" spans="3:18" s="123" customFormat="1" x14ac:dyDescent="0.3">
      <c r="C86" s="133"/>
      <c r="D86" s="135"/>
      <c r="E86" s="136"/>
      <c r="G86"/>
      <c r="H86"/>
      <c r="L86" s="121"/>
      <c r="M86" s="121"/>
      <c r="N86" s="121"/>
      <c r="O86" s="121"/>
      <c r="P86" s="121"/>
      <c r="Q86" s="121"/>
      <c r="R86" s="121"/>
    </row>
    <row r="87" spans="3:18" s="123" customFormat="1" x14ac:dyDescent="0.3">
      <c r="C87" s="133"/>
      <c r="D87" s="135"/>
      <c r="E87" s="136"/>
      <c r="G87"/>
      <c r="H87"/>
      <c r="L87" s="121"/>
      <c r="M87" s="121"/>
      <c r="N87" s="121"/>
      <c r="O87" s="121"/>
      <c r="P87" s="121"/>
      <c r="Q87" s="121"/>
      <c r="R87" s="121"/>
    </row>
    <row r="88" spans="3:18" s="123" customFormat="1" x14ac:dyDescent="0.3">
      <c r="C88" s="133"/>
      <c r="D88" s="135"/>
      <c r="E88" s="136"/>
      <c r="G88"/>
      <c r="H88"/>
      <c r="L88" s="121"/>
      <c r="M88" s="121"/>
      <c r="N88" s="121"/>
      <c r="O88" s="121"/>
      <c r="P88" s="121"/>
      <c r="Q88" s="121"/>
      <c r="R88" s="121"/>
    </row>
    <row r="89" spans="3:18" s="123" customFormat="1" x14ac:dyDescent="0.3">
      <c r="C89" s="133"/>
      <c r="D89" s="135"/>
      <c r="E89" s="136"/>
      <c r="G89"/>
      <c r="H89"/>
      <c r="L89" s="121"/>
      <c r="M89" s="121"/>
      <c r="N89" s="121"/>
      <c r="O89" s="121"/>
      <c r="P89" s="121"/>
      <c r="Q89" s="121"/>
      <c r="R89" s="121"/>
    </row>
    <row r="90" spans="3:18" s="123" customFormat="1" x14ac:dyDescent="0.3">
      <c r="C90" s="133"/>
      <c r="D90" s="135"/>
      <c r="E90" s="136"/>
      <c r="G90"/>
      <c r="H90"/>
      <c r="L90" s="121"/>
      <c r="M90" s="121"/>
      <c r="N90" s="121"/>
      <c r="O90" s="121"/>
      <c r="P90" s="121"/>
      <c r="Q90" s="121"/>
      <c r="R90" s="121"/>
    </row>
    <row r="91" spans="3:18" s="123" customFormat="1" x14ac:dyDescent="0.3">
      <c r="C91" s="133"/>
      <c r="D91" s="135"/>
      <c r="E91" s="136"/>
      <c r="G91"/>
      <c r="H91"/>
      <c r="L91" s="121"/>
      <c r="M91" s="121"/>
      <c r="N91" s="121"/>
      <c r="O91" s="121"/>
      <c r="P91" s="121"/>
      <c r="Q91" s="121"/>
      <c r="R91" s="121"/>
    </row>
    <row r="92" spans="3:18" s="123" customFormat="1" x14ac:dyDescent="0.3">
      <c r="C92" s="133"/>
      <c r="D92" s="135"/>
      <c r="E92" s="136"/>
      <c r="G92"/>
      <c r="H92"/>
      <c r="L92" s="121"/>
      <c r="M92" s="121"/>
      <c r="N92" s="121"/>
      <c r="O92" s="121"/>
      <c r="P92" s="121"/>
      <c r="Q92" s="121"/>
      <c r="R92" s="121"/>
    </row>
    <row r="93" spans="3:18" s="123" customFormat="1" x14ac:dyDescent="0.3">
      <c r="C93" s="133"/>
      <c r="D93" s="135"/>
      <c r="E93" s="136"/>
      <c r="G93"/>
      <c r="H93"/>
      <c r="L93" s="121"/>
      <c r="M93" s="121"/>
      <c r="N93" s="121"/>
      <c r="O93" s="121"/>
      <c r="P93" s="121"/>
      <c r="Q93" s="121"/>
      <c r="R93" s="121"/>
    </row>
    <row r="94" spans="3:18" s="123" customFormat="1" x14ac:dyDescent="0.3">
      <c r="C94" s="133"/>
      <c r="D94" s="135"/>
      <c r="E94" s="136"/>
      <c r="G94"/>
      <c r="H94"/>
      <c r="L94" s="121"/>
      <c r="M94" s="121"/>
      <c r="N94" s="121"/>
      <c r="O94" s="121"/>
      <c r="P94" s="121"/>
      <c r="Q94" s="121"/>
      <c r="R94" s="121"/>
    </row>
    <row r="95" spans="3:18" s="123" customFormat="1" x14ac:dyDescent="0.3">
      <c r="C95" s="133"/>
      <c r="D95" s="135"/>
      <c r="E95" s="136"/>
      <c r="G95"/>
      <c r="H95"/>
      <c r="L95" s="121"/>
      <c r="M95" s="121"/>
      <c r="N95" s="121"/>
      <c r="O95" s="121"/>
      <c r="P95" s="121"/>
      <c r="Q95" s="121"/>
      <c r="R95" s="121"/>
    </row>
    <row r="96" spans="3:18" s="123" customFormat="1" x14ac:dyDescent="0.3">
      <c r="C96" s="133"/>
      <c r="D96" s="135"/>
      <c r="E96" s="136"/>
      <c r="G96"/>
      <c r="H96"/>
      <c r="L96" s="121"/>
      <c r="M96" s="121"/>
      <c r="N96" s="121"/>
      <c r="O96" s="121"/>
      <c r="P96" s="121"/>
      <c r="Q96" s="121"/>
      <c r="R96" s="121"/>
    </row>
    <row r="97" spans="2:18" s="123" customFormat="1" x14ac:dyDescent="0.3">
      <c r="C97" s="133"/>
      <c r="D97" s="135"/>
      <c r="E97" s="136"/>
      <c r="G97"/>
      <c r="H97"/>
      <c r="L97" s="121"/>
      <c r="M97" s="121"/>
      <c r="N97" s="121"/>
      <c r="O97" s="121"/>
      <c r="P97" s="121"/>
      <c r="Q97" s="121"/>
      <c r="R97" s="121"/>
    </row>
    <row r="98" spans="2:18" s="123" customFormat="1" x14ac:dyDescent="0.3">
      <c r="C98" s="133"/>
      <c r="D98" s="135"/>
      <c r="E98" s="136"/>
      <c r="G98"/>
      <c r="H98"/>
      <c r="L98" s="121"/>
      <c r="M98" s="121"/>
      <c r="N98" s="121"/>
      <c r="O98" s="121"/>
      <c r="P98" s="121"/>
      <c r="Q98" s="121"/>
      <c r="R98" s="121"/>
    </row>
    <row r="99" spans="2:18" s="123" customFormat="1" x14ac:dyDescent="0.3">
      <c r="B99" s="141"/>
      <c r="C99" s="141"/>
      <c r="D99" s="141"/>
      <c r="E99" s="141"/>
      <c r="G99"/>
      <c r="H99"/>
      <c r="L99" s="121"/>
      <c r="M99" s="121"/>
      <c r="N99" s="121"/>
      <c r="O99" s="121"/>
      <c r="P99" s="121"/>
      <c r="Q99" s="121"/>
      <c r="R99" s="121"/>
    </row>
    <row r="100" spans="2:18" s="123" customFormat="1" x14ac:dyDescent="0.3">
      <c r="B100" s="141"/>
      <c r="C100" s="141"/>
      <c r="D100" s="141"/>
      <c r="E100" s="141"/>
      <c r="G100"/>
      <c r="H100"/>
      <c r="J100" s="135">
        <f>3+9+7+6+5+3+3+4+6+5+6+5</f>
        <v>62</v>
      </c>
      <c r="L100" s="121"/>
      <c r="M100" s="121"/>
      <c r="N100" s="121"/>
      <c r="O100" s="121"/>
      <c r="P100" s="121"/>
      <c r="Q100" s="121"/>
      <c r="R100" s="121"/>
    </row>
    <row r="101" spans="2:18" s="123" customFormat="1" x14ac:dyDescent="0.3">
      <c r="B101" s="141"/>
      <c r="C101" s="141"/>
      <c r="D101" s="141"/>
      <c r="E101" s="141"/>
      <c r="G101"/>
      <c r="H101"/>
      <c r="L101" s="121"/>
      <c r="M101" s="121"/>
      <c r="N101" s="121"/>
      <c r="O101" s="121"/>
      <c r="P101" s="121"/>
      <c r="Q101" s="121"/>
      <c r="R101" s="121"/>
    </row>
    <row r="102" spans="2:18" s="123" customFormat="1" x14ac:dyDescent="0.3">
      <c r="B102" s="141"/>
      <c r="C102" s="141"/>
      <c r="D102" s="141"/>
      <c r="E102" s="141"/>
      <c r="G102"/>
      <c r="H102"/>
      <c r="L102" s="121"/>
      <c r="M102" s="121"/>
      <c r="N102" s="121"/>
      <c r="O102" s="121"/>
      <c r="P102" s="121"/>
      <c r="Q102" s="121"/>
      <c r="R102" s="121"/>
    </row>
    <row r="103" spans="2:18" s="123" customFormat="1" x14ac:dyDescent="0.3">
      <c r="B103" s="141"/>
      <c r="C103" s="141"/>
      <c r="D103" s="141"/>
      <c r="E103" s="141"/>
      <c r="G103"/>
      <c r="H103"/>
      <c r="L103" s="121"/>
      <c r="M103" s="121"/>
      <c r="N103" s="121"/>
      <c r="O103" s="121"/>
      <c r="P103" s="121"/>
      <c r="Q103" s="121"/>
      <c r="R103" s="121"/>
    </row>
    <row r="104" spans="2:18" s="123" customFormat="1" x14ac:dyDescent="0.3">
      <c r="B104" s="141"/>
      <c r="C104" s="141"/>
      <c r="D104" s="141"/>
      <c r="E104" s="141"/>
      <c r="G104"/>
      <c r="H104"/>
      <c r="L104" s="121"/>
      <c r="M104" s="121"/>
      <c r="N104" s="121"/>
      <c r="O104" s="121"/>
      <c r="P104" s="121"/>
      <c r="Q104" s="121"/>
      <c r="R104" s="121"/>
    </row>
    <row r="105" spans="2:18" s="123" customFormat="1" x14ac:dyDescent="0.3">
      <c r="B105" s="141"/>
      <c r="C105" s="141"/>
      <c r="D105" s="141"/>
      <c r="E105" s="141"/>
      <c r="G105"/>
      <c r="H105"/>
      <c r="L105" s="121"/>
      <c r="M105" s="121"/>
      <c r="N105" s="121"/>
      <c r="O105" s="121"/>
      <c r="P105" s="121"/>
      <c r="Q105" s="121"/>
      <c r="R105" s="121"/>
    </row>
    <row r="106" spans="2:18" s="123" customFormat="1" x14ac:dyDescent="0.3">
      <c r="B106" s="141"/>
      <c r="C106" s="141"/>
      <c r="D106" s="141"/>
      <c r="E106" s="141"/>
      <c r="G106"/>
      <c r="H106"/>
      <c r="L106" s="121"/>
      <c r="M106" s="121"/>
      <c r="N106" s="121"/>
      <c r="O106" s="121"/>
      <c r="P106" s="121"/>
      <c r="Q106" s="121"/>
      <c r="R106" s="121"/>
    </row>
    <row r="107" spans="2:18" s="123" customFormat="1" x14ac:dyDescent="0.3">
      <c r="B107" s="141"/>
      <c r="C107" s="141"/>
      <c r="D107" s="141"/>
      <c r="E107" s="141"/>
      <c r="G107"/>
      <c r="H107"/>
      <c r="L107" s="121"/>
      <c r="M107" s="121"/>
      <c r="N107" s="121"/>
      <c r="O107" s="121"/>
      <c r="P107" s="121"/>
      <c r="Q107" s="121"/>
      <c r="R107" s="121"/>
    </row>
    <row r="108" spans="2:18" s="123" customFormat="1" x14ac:dyDescent="0.3">
      <c r="B108" s="141"/>
      <c r="C108" s="141"/>
      <c r="D108" s="141"/>
      <c r="E108" s="141"/>
      <c r="G108"/>
      <c r="H108"/>
      <c r="L108" s="121"/>
      <c r="M108" s="121"/>
      <c r="N108" s="121"/>
      <c r="O108" s="121"/>
      <c r="P108" s="121"/>
      <c r="Q108" s="121"/>
      <c r="R108" s="121"/>
    </row>
    <row r="109" spans="2:18" s="123" customFormat="1" x14ac:dyDescent="0.3">
      <c r="B109" s="141"/>
      <c r="C109" s="141"/>
      <c r="D109" s="141"/>
      <c r="E109" s="141"/>
      <c r="G109"/>
      <c r="H109"/>
      <c r="L109" s="121"/>
      <c r="M109" s="121"/>
      <c r="N109" s="121"/>
      <c r="O109" s="121"/>
      <c r="P109" s="121"/>
      <c r="Q109" s="121"/>
      <c r="R109" s="121"/>
    </row>
    <row r="110" spans="2:18" s="123" customFormat="1" x14ac:dyDescent="0.3">
      <c r="B110" s="141"/>
      <c r="C110" s="141"/>
      <c r="D110" s="141"/>
      <c r="E110" s="141"/>
      <c r="G110"/>
      <c r="H110"/>
      <c r="L110" s="121"/>
      <c r="M110" s="121"/>
      <c r="N110" s="121"/>
      <c r="O110" s="121"/>
      <c r="P110" s="121"/>
      <c r="Q110" s="121"/>
      <c r="R110" s="121"/>
    </row>
    <row r="111" spans="2:18" s="123" customFormat="1" x14ac:dyDescent="0.3">
      <c r="B111" s="141"/>
      <c r="C111" s="141"/>
      <c r="D111" s="141"/>
      <c r="E111" s="141"/>
      <c r="G111"/>
      <c r="H111"/>
      <c r="L111" s="121"/>
      <c r="M111" s="121"/>
      <c r="N111" s="121"/>
      <c r="O111" s="121"/>
      <c r="P111" s="121"/>
      <c r="Q111" s="121"/>
      <c r="R111" s="121"/>
    </row>
    <row r="112" spans="2:18" s="123" customFormat="1" x14ac:dyDescent="0.3">
      <c r="B112" s="141"/>
      <c r="C112" s="141"/>
      <c r="D112" s="141"/>
      <c r="E112" s="141"/>
      <c r="G112"/>
      <c r="H112"/>
      <c r="L112" s="121"/>
      <c r="M112" s="121"/>
      <c r="N112" s="121"/>
      <c r="O112" s="121"/>
      <c r="P112" s="121"/>
      <c r="Q112" s="121"/>
      <c r="R112" s="121"/>
    </row>
    <row r="113" spans="2:18" s="123" customFormat="1" x14ac:dyDescent="0.3">
      <c r="B113" s="141"/>
      <c r="C113" s="141"/>
      <c r="D113" s="141"/>
      <c r="E113" s="141"/>
      <c r="G113"/>
      <c r="H113"/>
      <c r="L113" s="121"/>
      <c r="M113" s="121"/>
      <c r="N113" s="121"/>
      <c r="O113" s="121"/>
      <c r="P113" s="121"/>
      <c r="Q113" s="121"/>
      <c r="R113" s="121"/>
    </row>
    <row r="114" spans="2:18" s="123" customFormat="1" x14ac:dyDescent="0.3">
      <c r="B114" s="141"/>
      <c r="C114" s="141"/>
      <c r="D114" s="141"/>
      <c r="E114" s="141"/>
      <c r="L114" s="121"/>
      <c r="M114" s="121"/>
      <c r="N114" s="121"/>
      <c r="O114" s="121"/>
      <c r="P114" s="121"/>
      <c r="Q114" s="121"/>
      <c r="R114" s="121"/>
    </row>
    <row r="115" spans="2:18" s="123" customFormat="1" x14ac:dyDescent="0.3">
      <c r="B115" s="141"/>
      <c r="C115" s="141"/>
      <c r="D115" s="141"/>
      <c r="E115" s="141"/>
      <c r="L115" s="121"/>
      <c r="M115" s="121"/>
      <c r="N115" s="121"/>
      <c r="O115" s="121"/>
      <c r="P115" s="121"/>
      <c r="Q115" s="121"/>
      <c r="R115" s="121"/>
    </row>
    <row r="116" spans="2:18" s="123" customFormat="1" x14ac:dyDescent="0.3">
      <c r="B116" s="141"/>
      <c r="C116" s="141"/>
      <c r="D116" s="141"/>
      <c r="E116" s="141"/>
      <c r="L116" s="121"/>
      <c r="M116" s="121"/>
      <c r="N116" s="121"/>
      <c r="O116" s="121"/>
      <c r="P116" s="121"/>
      <c r="Q116" s="121"/>
      <c r="R116" s="121"/>
    </row>
    <row r="117" spans="2:18" s="123" customFormat="1" x14ac:dyDescent="0.3">
      <c r="B117" s="141"/>
      <c r="C117" s="141"/>
      <c r="D117" s="141"/>
      <c r="E117" s="141"/>
      <c r="L117" s="121"/>
      <c r="M117" s="121"/>
      <c r="N117" s="121"/>
      <c r="O117" s="121"/>
      <c r="P117" s="121"/>
      <c r="Q117" s="121"/>
      <c r="R117" s="121"/>
    </row>
    <row r="118" spans="2:18" s="123" customFormat="1" x14ac:dyDescent="0.3">
      <c r="B118" s="141"/>
      <c r="C118" s="141"/>
      <c r="D118" s="141"/>
      <c r="E118" s="141"/>
      <c r="L118" s="121"/>
      <c r="M118" s="121"/>
      <c r="N118" s="121"/>
      <c r="O118" s="121"/>
      <c r="P118" s="121"/>
      <c r="Q118" s="121"/>
      <c r="R118" s="121"/>
    </row>
    <row r="119" spans="2:18" s="123" customFormat="1" x14ac:dyDescent="0.3">
      <c r="B119" s="141"/>
      <c r="C119" s="141"/>
      <c r="D119" s="141"/>
      <c r="E119" s="141"/>
      <c r="L119" s="121"/>
      <c r="M119" s="121"/>
      <c r="N119" s="121"/>
      <c r="O119" s="121"/>
      <c r="P119" s="121"/>
      <c r="Q119" s="121"/>
      <c r="R119" s="121"/>
    </row>
    <row r="120" spans="2:18" s="123" customFormat="1" x14ac:dyDescent="0.3">
      <c r="B120" s="141"/>
      <c r="C120" s="141"/>
      <c r="D120" s="141"/>
      <c r="E120" s="141"/>
      <c r="L120" s="121"/>
      <c r="M120" s="121"/>
      <c r="N120" s="121"/>
      <c r="O120" s="121"/>
      <c r="P120" s="121"/>
      <c r="Q120" s="121"/>
      <c r="R120" s="121"/>
    </row>
    <row r="121" spans="2:18" s="123" customFormat="1" x14ac:dyDescent="0.3">
      <c r="B121" s="141"/>
      <c r="C121" s="141"/>
      <c r="D121" s="141"/>
      <c r="E121" s="141"/>
      <c r="L121" s="121"/>
      <c r="M121" s="121"/>
      <c r="N121" s="121"/>
      <c r="O121" s="121"/>
      <c r="P121" s="121"/>
      <c r="Q121" s="121"/>
      <c r="R121" s="121"/>
    </row>
    <row r="122" spans="2:18" s="123" customFormat="1" x14ac:dyDescent="0.3">
      <c r="B122" s="141"/>
      <c r="C122" s="141"/>
      <c r="D122" s="141"/>
      <c r="E122" s="141"/>
      <c r="L122" s="121"/>
      <c r="M122" s="121"/>
      <c r="N122" s="121"/>
      <c r="O122" s="121"/>
      <c r="P122" s="121"/>
      <c r="Q122" s="121"/>
      <c r="R122" s="121"/>
    </row>
    <row r="123" spans="2:18" s="123" customFormat="1" x14ac:dyDescent="0.3">
      <c r="B123" s="141"/>
      <c r="C123" s="141"/>
      <c r="D123" s="141"/>
      <c r="E123" s="141"/>
      <c r="L123" s="121"/>
      <c r="M123" s="121"/>
      <c r="N123" s="121"/>
      <c r="O123" s="121"/>
      <c r="P123" s="121"/>
      <c r="Q123" s="121"/>
      <c r="R123" s="121"/>
    </row>
    <row r="124" spans="2:18" s="123" customFormat="1" x14ac:dyDescent="0.3">
      <c r="B124" s="141"/>
      <c r="C124" s="141"/>
      <c r="D124" s="141"/>
      <c r="E124" s="141"/>
      <c r="L124" s="121"/>
      <c r="M124" s="121"/>
      <c r="N124" s="121"/>
      <c r="O124" s="121"/>
      <c r="P124" s="121"/>
      <c r="Q124" s="121"/>
      <c r="R124" s="121"/>
    </row>
    <row r="125" spans="2:18" s="123" customFormat="1" x14ac:dyDescent="0.3">
      <c r="B125" s="141"/>
      <c r="C125" s="141"/>
      <c r="D125" s="141"/>
      <c r="E125" s="141"/>
      <c r="L125" s="121"/>
      <c r="M125" s="121"/>
      <c r="N125" s="121"/>
      <c r="O125" s="121"/>
      <c r="P125" s="121"/>
      <c r="Q125" s="121"/>
      <c r="R125" s="121"/>
    </row>
    <row r="126" spans="2:18" s="123" customFormat="1" x14ac:dyDescent="0.3">
      <c r="B126" s="141"/>
      <c r="C126" s="141"/>
      <c r="D126" s="141"/>
      <c r="E126" s="141"/>
      <c r="L126" s="121"/>
      <c r="M126" s="121"/>
      <c r="N126" s="121"/>
      <c r="O126" s="121"/>
      <c r="P126" s="121"/>
      <c r="Q126" s="121"/>
      <c r="R126" s="121"/>
    </row>
    <row r="127" spans="2:18" s="123" customFormat="1" x14ac:dyDescent="0.3">
      <c r="B127" s="141"/>
      <c r="C127" s="141"/>
      <c r="D127" s="141"/>
      <c r="E127" s="141"/>
      <c r="L127" s="121"/>
      <c r="M127" s="121"/>
      <c r="N127" s="121"/>
      <c r="O127" s="121"/>
      <c r="P127" s="121"/>
      <c r="Q127" s="121"/>
      <c r="R127" s="121"/>
    </row>
    <row r="128" spans="2:18" s="123" customFormat="1" x14ac:dyDescent="0.3">
      <c r="B128" s="141"/>
      <c r="C128" s="141"/>
      <c r="D128" s="141"/>
      <c r="E128" s="141"/>
      <c r="L128" s="121"/>
      <c r="M128" s="121"/>
      <c r="N128" s="121"/>
      <c r="O128" s="121"/>
      <c r="P128" s="121"/>
      <c r="Q128" s="121"/>
      <c r="R128" s="121"/>
    </row>
    <row r="129" spans="2:18" s="123" customFormat="1" x14ac:dyDescent="0.3">
      <c r="B129" s="141"/>
      <c r="C129" s="141"/>
      <c r="D129" s="141"/>
      <c r="E129" s="141"/>
      <c r="L129" s="121"/>
      <c r="M129" s="121"/>
      <c r="N129" s="121"/>
      <c r="O129" s="121"/>
      <c r="P129" s="121"/>
      <c r="Q129" s="121"/>
      <c r="R129" s="121"/>
    </row>
    <row r="130" spans="2:18" s="123" customFormat="1" x14ac:dyDescent="0.3">
      <c r="B130" s="141"/>
      <c r="C130" s="141"/>
      <c r="D130" s="141"/>
      <c r="E130" s="141"/>
      <c r="L130" s="121"/>
      <c r="M130" s="121"/>
      <c r="N130" s="121"/>
      <c r="O130" s="121"/>
      <c r="P130" s="121"/>
      <c r="Q130" s="121"/>
      <c r="R130" s="121"/>
    </row>
    <row r="131" spans="2:18" s="123" customFormat="1" x14ac:dyDescent="0.3">
      <c r="B131" s="141"/>
      <c r="C131" s="141"/>
      <c r="D131" s="141"/>
      <c r="E131" s="141"/>
      <c r="L131" s="121"/>
      <c r="M131" s="121"/>
      <c r="N131" s="121"/>
      <c r="O131" s="121"/>
      <c r="P131" s="121"/>
      <c r="Q131" s="121"/>
      <c r="R131" s="121"/>
    </row>
    <row r="132" spans="2:18" s="123" customFormat="1" x14ac:dyDescent="0.3">
      <c r="B132" s="141"/>
      <c r="C132" s="141"/>
      <c r="D132" s="141"/>
      <c r="E132" s="141"/>
      <c r="L132" s="121"/>
      <c r="M132" s="121"/>
      <c r="N132" s="121"/>
      <c r="O132" s="121"/>
      <c r="P132" s="121"/>
      <c r="Q132" s="121"/>
      <c r="R132" s="121"/>
    </row>
    <row r="133" spans="2:18" s="123" customFormat="1" x14ac:dyDescent="0.3">
      <c r="B133" s="141"/>
      <c r="C133" s="141"/>
      <c r="D133" s="141"/>
      <c r="E133" s="141"/>
      <c r="L133" s="121"/>
      <c r="M133" s="121"/>
      <c r="N133" s="121"/>
      <c r="O133" s="121"/>
      <c r="P133" s="121"/>
      <c r="Q133" s="121"/>
      <c r="R133" s="121"/>
    </row>
    <row r="134" spans="2:18" s="123" customFormat="1" x14ac:dyDescent="0.3">
      <c r="B134" s="141"/>
      <c r="C134" s="141"/>
      <c r="D134" s="141"/>
      <c r="E134" s="141"/>
      <c r="L134" s="121"/>
      <c r="M134" s="121"/>
      <c r="N134" s="121"/>
      <c r="O134" s="121"/>
      <c r="P134" s="121"/>
      <c r="Q134" s="121"/>
      <c r="R134" s="121"/>
    </row>
    <row r="135" spans="2:18" s="123" customFormat="1" x14ac:dyDescent="0.3">
      <c r="B135" s="141"/>
      <c r="C135" s="141"/>
      <c r="D135" s="141"/>
      <c r="E135" s="141"/>
      <c r="L135" s="121"/>
      <c r="M135" s="121"/>
      <c r="N135" s="121"/>
      <c r="O135" s="121"/>
      <c r="P135" s="121"/>
      <c r="Q135" s="121"/>
      <c r="R135" s="121"/>
    </row>
    <row r="136" spans="2:18" s="123" customFormat="1" x14ac:dyDescent="0.3">
      <c r="B136" s="141"/>
      <c r="C136" s="141"/>
      <c r="D136" s="141"/>
      <c r="E136" s="141"/>
      <c r="L136" s="121"/>
      <c r="M136" s="121"/>
      <c r="N136" s="121"/>
      <c r="O136" s="121"/>
      <c r="P136" s="121"/>
      <c r="Q136" s="121"/>
      <c r="R136" s="121"/>
    </row>
    <row r="137" spans="2:18" s="123" customFormat="1" x14ac:dyDescent="0.3">
      <c r="B137" s="141"/>
      <c r="C137" s="141"/>
      <c r="D137" s="141"/>
      <c r="E137" s="141"/>
      <c r="L137" s="121"/>
      <c r="M137" s="121"/>
      <c r="N137" s="121"/>
      <c r="O137" s="121"/>
      <c r="P137" s="121"/>
      <c r="Q137" s="121"/>
      <c r="R137" s="121"/>
    </row>
    <row r="138" spans="2:18" s="123" customFormat="1" x14ac:dyDescent="0.3">
      <c r="B138" s="141"/>
      <c r="C138" s="141"/>
      <c r="D138" s="141"/>
      <c r="E138" s="141"/>
      <c r="L138" s="121"/>
      <c r="M138" s="121"/>
      <c r="N138" s="121"/>
      <c r="O138" s="121"/>
      <c r="P138" s="121"/>
      <c r="Q138" s="121"/>
      <c r="R138" s="121"/>
    </row>
    <row r="139" spans="2:18" s="123" customFormat="1" x14ac:dyDescent="0.3">
      <c r="B139" s="141"/>
      <c r="C139" s="141"/>
      <c r="D139" s="141"/>
      <c r="E139" s="141"/>
      <c r="L139" s="121"/>
      <c r="M139" s="121"/>
      <c r="N139" s="121"/>
      <c r="O139" s="121"/>
      <c r="P139" s="121"/>
      <c r="Q139" s="121"/>
      <c r="R139" s="121"/>
    </row>
    <row r="140" spans="2:18" s="123" customFormat="1" x14ac:dyDescent="0.3">
      <c r="B140" s="141"/>
      <c r="C140" s="141"/>
      <c r="D140" s="141"/>
      <c r="E140" s="141"/>
      <c r="L140" s="121"/>
      <c r="M140" s="121"/>
      <c r="N140" s="121"/>
      <c r="O140" s="121"/>
      <c r="P140" s="121"/>
      <c r="Q140" s="121"/>
      <c r="R140" s="121"/>
    </row>
    <row r="141" spans="2:18" s="123" customFormat="1" x14ac:dyDescent="0.3">
      <c r="B141" s="141"/>
      <c r="C141" s="141"/>
      <c r="D141" s="141"/>
      <c r="E141" s="141"/>
      <c r="L141" s="121"/>
      <c r="M141" s="121"/>
      <c r="N141" s="121"/>
      <c r="O141" s="121"/>
      <c r="P141" s="121"/>
      <c r="Q141" s="121"/>
      <c r="R141" s="121"/>
    </row>
    <row r="142" spans="2:18" s="123" customFormat="1" x14ac:dyDescent="0.3">
      <c r="B142" s="141"/>
      <c r="C142" s="141"/>
      <c r="D142" s="141"/>
      <c r="E142" s="141"/>
      <c r="L142" s="121"/>
      <c r="M142" s="121"/>
      <c r="N142" s="121"/>
      <c r="O142" s="121"/>
      <c r="P142" s="121"/>
      <c r="Q142" s="121"/>
      <c r="R142" s="121"/>
    </row>
    <row r="143" spans="2:18" s="123" customFormat="1" x14ac:dyDescent="0.3">
      <c r="B143" s="141"/>
      <c r="C143" s="141"/>
      <c r="D143" s="141"/>
      <c r="E143" s="141"/>
      <c r="L143" s="121"/>
      <c r="M143" s="121"/>
      <c r="N143" s="121"/>
      <c r="O143" s="121"/>
      <c r="P143" s="121"/>
      <c r="Q143" s="121"/>
      <c r="R143" s="121"/>
    </row>
    <row r="144" spans="2:18" s="123" customFormat="1" x14ac:dyDescent="0.3">
      <c r="B144" s="141"/>
      <c r="C144" s="141"/>
      <c r="D144" s="141"/>
      <c r="E144" s="141"/>
      <c r="L144" s="121"/>
      <c r="M144" s="121"/>
      <c r="N144" s="121"/>
      <c r="O144" s="121"/>
      <c r="P144" s="121"/>
      <c r="Q144" s="121"/>
      <c r="R144" s="121"/>
    </row>
    <row r="145" spans="2:18" s="123" customFormat="1" x14ac:dyDescent="0.3">
      <c r="B145" s="141"/>
      <c r="C145" s="141"/>
      <c r="D145" s="141"/>
      <c r="E145" s="141"/>
      <c r="L145" s="121"/>
      <c r="M145" s="121"/>
      <c r="N145" s="121"/>
      <c r="O145" s="121"/>
      <c r="P145" s="121"/>
      <c r="Q145" s="121"/>
      <c r="R145" s="121"/>
    </row>
    <row r="146" spans="2:18" s="123" customFormat="1" x14ac:dyDescent="0.3">
      <c r="B146" s="141"/>
      <c r="C146" s="141"/>
      <c r="D146" s="141"/>
      <c r="E146" s="141"/>
      <c r="L146" s="121"/>
      <c r="M146" s="121"/>
      <c r="N146" s="121"/>
      <c r="O146" s="121"/>
      <c r="P146" s="121"/>
      <c r="Q146" s="121"/>
      <c r="R146" s="121"/>
    </row>
    <row r="147" spans="2:18" s="123" customFormat="1" x14ac:dyDescent="0.3">
      <c r="B147" s="141"/>
      <c r="C147" s="141"/>
      <c r="D147" s="141"/>
      <c r="E147" s="141"/>
      <c r="L147" s="121"/>
      <c r="M147" s="121"/>
      <c r="N147" s="121"/>
      <c r="O147" s="121"/>
      <c r="P147" s="121"/>
      <c r="Q147" s="121"/>
      <c r="R147" s="121"/>
    </row>
    <row r="148" spans="2:18" s="123" customFormat="1" x14ac:dyDescent="0.3">
      <c r="B148" s="141"/>
      <c r="C148" s="141"/>
      <c r="D148" s="141"/>
      <c r="E148" s="141"/>
      <c r="L148" s="121"/>
      <c r="M148" s="121"/>
      <c r="N148" s="121"/>
      <c r="O148" s="121"/>
      <c r="P148" s="121"/>
      <c r="Q148" s="121"/>
      <c r="R148" s="121"/>
    </row>
    <row r="149" spans="2:18" s="123" customFormat="1" x14ac:dyDescent="0.3">
      <c r="B149" s="141"/>
      <c r="C149" s="141"/>
      <c r="D149" s="141"/>
      <c r="E149" s="141"/>
      <c r="L149" s="121"/>
      <c r="M149" s="121"/>
      <c r="N149" s="121"/>
      <c r="O149" s="121"/>
      <c r="P149" s="121"/>
      <c r="Q149" s="121"/>
      <c r="R149" s="121"/>
    </row>
    <row r="150" spans="2:18" s="123" customFormat="1" x14ac:dyDescent="0.3">
      <c r="B150" s="141"/>
      <c r="C150" s="141"/>
      <c r="D150" s="141"/>
      <c r="E150" s="141"/>
      <c r="L150" s="121"/>
      <c r="M150" s="121"/>
      <c r="N150" s="121"/>
      <c r="O150" s="121"/>
      <c r="P150" s="121"/>
      <c r="Q150" s="121"/>
      <c r="R150" s="121"/>
    </row>
    <row r="151" spans="2:18" s="123" customFormat="1" x14ac:dyDescent="0.3">
      <c r="B151" s="141"/>
      <c r="C151" s="141"/>
      <c r="D151" s="141"/>
      <c r="E151" s="141"/>
      <c r="L151" s="121"/>
      <c r="M151" s="121"/>
      <c r="N151" s="121"/>
      <c r="O151" s="121"/>
      <c r="P151" s="121"/>
      <c r="Q151" s="121"/>
      <c r="R151" s="121"/>
    </row>
    <row r="152" spans="2:18" s="123" customFormat="1" x14ac:dyDescent="0.3">
      <c r="B152" s="141"/>
      <c r="C152" s="141"/>
      <c r="D152" s="141"/>
      <c r="E152" s="141"/>
      <c r="L152" s="121"/>
      <c r="M152" s="121"/>
      <c r="N152" s="121"/>
      <c r="O152" s="121"/>
      <c r="P152" s="121"/>
      <c r="Q152" s="121"/>
      <c r="R152" s="121"/>
    </row>
    <row r="153" spans="2:18" s="123" customFormat="1" x14ac:dyDescent="0.3">
      <c r="B153" s="141"/>
      <c r="C153" s="141"/>
      <c r="D153" s="141"/>
      <c r="E153" s="141"/>
      <c r="L153" s="121"/>
      <c r="M153" s="121"/>
      <c r="N153" s="121"/>
      <c r="O153" s="121"/>
      <c r="P153" s="121"/>
      <c r="Q153" s="121"/>
      <c r="R153" s="121"/>
    </row>
    <row r="154" spans="2:18" s="123" customFormat="1" x14ac:dyDescent="0.3">
      <c r="B154" s="141"/>
      <c r="C154" s="141"/>
      <c r="D154" s="141"/>
      <c r="E154" s="141"/>
      <c r="L154" s="121"/>
      <c r="M154" s="121"/>
      <c r="N154" s="121"/>
      <c r="O154" s="121"/>
      <c r="P154" s="121"/>
      <c r="Q154" s="121"/>
      <c r="R154" s="121"/>
    </row>
    <row r="155" spans="2:18" s="123" customFormat="1" x14ac:dyDescent="0.3">
      <c r="B155" s="141"/>
      <c r="C155" s="141"/>
      <c r="D155" s="141"/>
      <c r="E155" s="141"/>
      <c r="L155" s="121"/>
      <c r="M155" s="121"/>
      <c r="N155" s="121"/>
      <c r="O155" s="121"/>
      <c r="P155" s="121"/>
      <c r="Q155" s="121"/>
      <c r="R155" s="121"/>
    </row>
    <row r="156" spans="2:18" s="123" customFormat="1" x14ac:dyDescent="0.3">
      <c r="B156" s="141"/>
      <c r="C156" s="141"/>
      <c r="D156" s="141"/>
      <c r="E156" s="141"/>
      <c r="L156" s="121"/>
      <c r="M156" s="121"/>
      <c r="N156" s="121"/>
      <c r="O156" s="121"/>
      <c r="P156" s="121"/>
      <c r="Q156" s="121"/>
      <c r="R156" s="121"/>
    </row>
    <row r="157" spans="2:18" s="123" customFormat="1" x14ac:dyDescent="0.3">
      <c r="B157" s="141"/>
      <c r="C157" s="141"/>
      <c r="D157" s="141"/>
      <c r="E157" s="141"/>
      <c r="L157" s="121"/>
      <c r="M157" s="121"/>
      <c r="N157" s="121"/>
      <c r="O157" s="121"/>
      <c r="P157" s="121"/>
      <c r="Q157" s="121"/>
      <c r="R157" s="121"/>
    </row>
    <row r="158" spans="2:18" s="123" customFormat="1" x14ac:dyDescent="0.3">
      <c r="B158" s="141"/>
      <c r="C158" s="141"/>
      <c r="D158" s="141"/>
      <c r="E158" s="141"/>
      <c r="L158" s="121"/>
      <c r="M158" s="121"/>
      <c r="N158" s="121"/>
      <c r="O158" s="121"/>
      <c r="P158" s="121"/>
      <c r="Q158" s="121"/>
      <c r="R158" s="121"/>
    </row>
    <row r="159" spans="2:18" s="123" customFormat="1" x14ac:dyDescent="0.3">
      <c r="B159" s="141"/>
      <c r="C159" s="141"/>
      <c r="D159" s="141"/>
      <c r="E159" s="141"/>
      <c r="L159" s="121"/>
      <c r="M159" s="121"/>
      <c r="N159" s="121"/>
      <c r="O159" s="121"/>
      <c r="P159" s="121"/>
      <c r="Q159" s="121"/>
      <c r="R159" s="121"/>
    </row>
    <row r="160" spans="2:18" s="123" customFormat="1" x14ac:dyDescent="0.3">
      <c r="B160" s="141"/>
      <c r="C160" s="141"/>
      <c r="D160" s="141"/>
      <c r="E160" s="141"/>
      <c r="L160" s="121"/>
      <c r="M160" s="121"/>
      <c r="N160" s="121"/>
      <c r="O160" s="121"/>
      <c r="P160" s="121"/>
      <c r="Q160" s="121"/>
      <c r="R160" s="121"/>
    </row>
    <row r="161" spans="2:18" s="123" customFormat="1" x14ac:dyDescent="0.3">
      <c r="B161" s="141"/>
      <c r="C161" s="141"/>
      <c r="D161" s="141"/>
      <c r="E161" s="141"/>
      <c r="L161" s="121"/>
      <c r="M161" s="121"/>
      <c r="N161" s="121"/>
      <c r="O161" s="121"/>
      <c r="P161" s="121"/>
      <c r="Q161" s="121"/>
      <c r="R161" s="121"/>
    </row>
    <row r="162" spans="2:18" s="123" customFormat="1" x14ac:dyDescent="0.3">
      <c r="B162" s="141"/>
      <c r="C162" s="141"/>
      <c r="D162" s="141"/>
      <c r="E162" s="141"/>
      <c r="L162" s="121"/>
      <c r="M162" s="121"/>
      <c r="N162" s="121"/>
      <c r="O162" s="121"/>
      <c r="P162" s="121"/>
      <c r="Q162" s="121"/>
      <c r="R162" s="121"/>
    </row>
    <row r="163" spans="2:18" s="123" customFormat="1" x14ac:dyDescent="0.3">
      <c r="B163" s="141"/>
      <c r="C163" s="141"/>
      <c r="D163" s="141"/>
      <c r="E163" s="141"/>
      <c r="L163" s="121"/>
      <c r="M163" s="121"/>
      <c r="N163" s="121"/>
      <c r="O163" s="121"/>
      <c r="P163" s="121"/>
      <c r="Q163" s="121"/>
      <c r="R163" s="121"/>
    </row>
    <row r="164" spans="2:18" s="123" customFormat="1" x14ac:dyDescent="0.3">
      <c r="B164" s="141"/>
      <c r="C164" s="141"/>
      <c r="D164" s="141"/>
      <c r="E164" s="141"/>
      <c r="L164" s="121"/>
      <c r="M164" s="121"/>
      <c r="N164" s="121"/>
      <c r="O164" s="121"/>
      <c r="P164" s="121"/>
      <c r="Q164" s="121"/>
      <c r="R164" s="121"/>
    </row>
    <row r="165" spans="2:18" s="123" customFormat="1" x14ac:dyDescent="0.3">
      <c r="B165" s="141"/>
      <c r="C165" s="141"/>
      <c r="D165" s="141"/>
      <c r="E165" s="141"/>
      <c r="L165" s="121"/>
      <c r="M165" s="121"/>
      <c r="N165" s="121"/>
      <c r="O165" s="121"/>
      <c r="P165" s="121"/>
      <c r="Q165" s="121"/>
      <c r="R165" s="121"/>
    </row>
    <row r="166" spans="2:18" s="123" customFormat="1" x14ac:dyDescent="0.3">
      <c r="B166" s="141"/>
      <c r="C166" s="141"/>
      <c r="D166" s="141"/>
      <c r="E166" s="141"/>
      <c r="L166" s="121"/>
      <c r="M166" s="121"/>
      <c r="N166" s="121"/>
      <c r="O166" s="121"/>
      <c r="P166" s="121"/>
      <c r="Q166" s="121"/>
      <c r="R166" s="121"/>
    </row>
    <row r="167" spans="2:18" s="123" customFormat="1" x14ac:dyDescent="0.3">
      <c r="B167" s="141"/>
      <c r="C167" s="141"/>
      <c r="D167" s="141"/>
      <c r="E167" s="141"/>
      <c r="L167" s="121"/>
      <c r="M167" s="121"/>
      <c r="N167" s="121"/>
      <c r="O167" s="121"/>
      <c r="P167" s="121"/>
      <c r="Q167" s="121"/>
      <c r="R167" s="121"/>
    </row>
  </sheetData>
  <pageMargins left="0.75" right="0.75" top="1" bottom="1" header="0.5" footer="0.5"/>
  <pageSetup scale="59" orientation="landscape" horizontalDpi="4294967292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94"/>
  <sheetViews>
    <sheetView workbookViewId="0"/>
  </sheetViews>
  <sheetFormatPr defaultColWidth="8" defaultRowHeight="12.75" x14ac:dyDescent="0.2"/>
  <cols>
    <col min="1" max="1" width="9" style="17" customWidth="1"/>
    <col min="2" max="6" width="8" style="17" customWidth="1"/>
    <col min="7" max="7" width="8.75" style="17" customWidth="1"/>
    <col min="8" max="13" width="8" style="17"/>
    <col min="14" max="14" width="17" style="17" customWidth="1"/>
    <col min="15" max="16384" width="8" style="17"/>
  </cols>
  <sheetData>
    <row r="2" spans="2:11" ht="15" x14ac:dyDescent="0.25">
      <c r="B2" s="34"/>
    </row>
    <row r="3" spans="2:11" ht="15" x14ac:dyDescent="0.25">
      <c r="B3" s="34" t="s">
        <v>223</v>
      </c>
    </row>
    <row r="5" spans="2:11" ht="15.75" x14ac:dyDescent="0.25">
      <c r="B5" s="25"/>
    </row>
    <row r="6" spans="2:11" x14ac:dyDescent="0.2">
      <c r="B6" s="20" t="s">
        <v>86</v>
      </c>
    </row>
    <row r="7" spans="2:11" x14ac:dyDescent="0.2">
      <c r="B7" s="20" t="s">
        <v>87</v>
      </c>
    </row>
    <row r="8" spans="2:11" x14ac:dyDescent="0.2">
      <c r="B8" s="20" t="s">
        <v>88</v>
      </c>
    </row>
    <row r="11" spans="2:11" x14ac:dyDescent="0.2">
      <c r="F11" s="18" t="s">
        <v>89</v>
      </c>
      <c r="I11" s="20" t="s">
        <v>224</v>
      </c>
    </row>
    <row r="12" spans="2:11" ht="14.25" x14ac:dyDescent="0.2">
      <c r="F12" s="19">
        <v>-5.7</v>
      </c>
      <c r="I12" s="17">
        <v>-30</v>
      </c>
      <c r="J12">
        <f t="array" ref="J12:J17">FREQUENCY(F12:F94,I12:I17)</f>
        <v>0</v>
      </c>
      <c r="K12">
        <f>J12</f>
        <v>0</v>
      </c>
    </row>
    <row r="13" spans="2:11" ht="14.25" x14ac:dyDescent="0.2">
      <c r="F13" s="19">
        <v>1.2</v>
      </c>
      <c r="I13" s="17">
        <v>-20</v>
      </c>
      <c r="J13">
        <v>1</v>
      </c>
      <c r="K13">
        <f t="shared" ref="K13:K17" si="0">J13</f>
        <v>1</v>
      </c>
    </row>
    <row r="14" spans="2:11" ht="14.25" x14ac:dyDescent="0.2">
      <c r="F14" s="19">
        <v>4.0999999999999996</v>
      </c>
      <c r="I14" s="17">
        <v>-10</v>
      </c>
      <c r="J14">
        <v>5</v>
      </c>
      <c r="K14">
        <f t="shared" si="0"/>
        <v>5</v>
      </c>
    </row>
    <row r="15" spans="2:11" ht="14.25" x14ac:dyDescent="0.2">
      <c r="F15" s="19">
        <v>3.2</v>
      </c>
      <c r="I15" s="17">
        <v>0</v>
      </c>
      <c r="J15">
        <v>22</v>
      </c>
      <c r="K15">
        <f t="shared" si="0"/>
        <v>22</v>
      </c>
    </row>
    <row r="16" spans="2:11" ht="14.25" x14ac:dyDescent="0.2">
      <c r="F16" s="19">
        <v>7.3</v>
      </c>
      <c r="I16" s="17">
        <v>10</v>
      </c>
      <c r="J16">
        <v>45</v>
      </c>
      <c r="K16">
        <f t="shared" si="0"/>
        <v>45</v>
      </c>
    </row>
    <row r="17" spans="6:11" ht="14.25" x14ac:dyDescent="0.2">
      <c r="F17" s="19">
        <v>7.5</v>
      </c>
      <c r="I17" s="17">
        <v>20</v>
      </c>
      <c r="J17">
        <v>10</v>
      </c>
      <c r="K17">
        <f t="shared" si="0"/>
        <v>10</v>
      </c>
    </row>
    <row r="18" spans="6:11" x14ac:dyDescent="0.2">
      <c r="F18" s="19">
        <v>18.600000000000001</v>
      </c>
    </row>
    <row r="19" spans="6:11" x14ac:dyDescent="0.2">
      <c r="F19" s="19">
        <v>3.7</v>
      </c>
    </row>
    <row r="20" spans="6:11" x14ac:dyDescent="0.2">
      <c r="F20" s="19">
        <v>-1.8</v>
      </c>
    </row>
    <row r="21" spans="6:11" x14ac:dyDescent="0.2">
      <c r="F21" s="19">
        <v>2.4</v>
      </c>
    </row>
    <row r="22" spans="6:11" x14ac:dyDescent="0.2">
      <c r="F22" s="19">
        <v>-6.5</v>
      </c>
    </row>
    <row r="23" spans="6:11" x14ac:dyDescent="0.2">
      <c r="F23" s="19">
        <v>6.7</v>
      </c>
    </row>
    <row r="24" spans="6:11" x14ac:dyDescent="0.2">
      <c r="F24" s="19">
        <v>9.4</v>
      </c>
    </row>
    <row r="25" spans="6:11" x14ac:dyDescent="0.2">
      <c r="F25" s="19">
        <v>-2</v>
      </c>
    </row>
    <row r="26" spans="6:11" x14ac:dyDescent="0.2">
      <c r="F26" s="19">
        <v>-2.8</v>
      </c>
    </row>
    <row r="27" spans="6:11" x14ac:dyDescent="0.2">
      <c r="F27" s="19">
        <v>-3.4</v>
      </c>
    </row>
    <row r="28" spans="6:11" x14ac:dyDescent="0.2">
      <c r="F28" s="19">
        <v>19.2</v>
      </c>
    </row>
    <row r="29" spans="6:11" x14ac:dyDescent="0.2">
      <c r="F29" s="19">
        <v>-4.8</v>
      </c>
    </row>
    <row r="30" spans="6:11" x14ac:dyDescent="0.2">
      <c r="F30" s="19">
        <v>0.5</v>
      </c>
    </row>
    <row r="31" spans="6:11" x14ac:dyDescent="0.2">
      <c r="F31" s="19">
        <v>-0.6</v>
      </c>
    </row>
    <row r="32" spans="6:11" x14ac:dyDescent="0.2">
      <c r="F32" s="19">
        <v>2.8</v>
      </c>
    </row>
    <row r="33" spans="6:6" x14ac:dyDescent="0.2">
      <c r="F33" s="19">
        <v>-0.5</v>
      </c>
    </row>
    <row r="34" spans="6:6" x14ac:dyDescent="0.2">
      <c r="F34" s="19">
        <v>-4.5</v>
      </c>
    </row>
    <row r="35" spans="6:6" x14ac:dyDescent="0.2">
      <c r="F35" s="19">
        <v>8.6999999999999993</v>
      </c>
    </row>
    <row r="36" spans="6:6" x14ac:dyDescent="0.2">
      <c r="F36" s="19">
        <v>2.7</v>
      </c>
    </row>
    <row r="37" spans="6:6" x14ac:dyDescent="0.2">
      <c r="F37" s="19">
        <v>4.0999999999999996</v>
      </c>
    </row>
    <row r="38" spans="6:6" x14ac:dyDescent="0.2">
      <c r="F38" s="19">
        <v>-10.3</v>
      </c>
    </row>
    <row r="39" spans="6:6" x14ac:dyDescent="0.2">
      <c r="F39" s="19">
        <v>4.8</v>
      </c>
    </row>
    <row r="40" spans="6:6" x14ac:dyDescent="0.2">
      <c r="F40" s="19">
        <v>-2.2999999999999998</v>
      </c>
    </row>
    <row r="41" spans="6:6" x14ac:dyDescent="0.2">
      <c r="F41" s="19">
        <v>-3.1</v>
      </c>
    </row>
    <row r="42" spans="6:6" x14ac:dyDescent="0.2">
      <c r="F42" s="19">
        <v>-10.199999999999999</v>
      </c>
    </row>
    <row r="43" spans="6:6" x14ac:dyDescent="0.2">
      <c r="F43" s="19">
        <v>-3.7</v>
      </c>
    </row>
    <row r="44" spans="6:6" x14ac:dyDescent="0.2">
      <c r="F44" s="19">
        <v>-26.6</v>
      </c>
    </row>
    <row r="45" spans="6:6" x14ac:dyDescent="0.2">
      <c r="F45" s="19">
        <v>7.2</v>
      </c>
    </row>
    <row r="46" spans="6:6" x14ac:dyDescent="0.2">
      <c r="F46" s="19">
        <v>-2.9</v>
      </c>
    </row>
    <row r="47" spans="6:6" x14ac:dyDescent="0.2">
      <c r="F47" s="19">
        <v>-2.2999999999999998</v>
      </c>
    </row>
    <row r="48" spans="6:6" x14ac:dyDescent="0.2">
      <c r="F48" s="19">
        <v>3.5</v>
      </c>
    </row>
    <row r="49" spans="6:6" x14ac:dyDescent="0.2">
      <c r="F49" s="19">
        <v>-4.5999999999999996</v>
      </c>
    </row>
    <row r="50" spans="6:6" x14ac:dyDescent="0.2">
      <c r="F50" s="19">
        <v>17.2</v>
      </c>
    </row>
    <row r="51" spans="6:6" x14ac:dyDescent="0.2">
      <c r="F51" s="19">
        <v>4.2</v>
      </c>
    </row>
    <row r="52" spans="6:6" x14ac:dyDescent="0.2">
      <c r="F52" s="19">
        <v>0.5</v>
      </c>
    </row>
    <row r="53" spans="6:6" x14ac:dyDescent="0.2">
      <c r="F53" s="19">
        <v>8.3000000000000007</v>
      </c>
    </row>
    <row r="54" spans="6:6" x14ac:dyDescent="0.2">
      <c r="F54" s="19">
        <v>-7.1</v>
      </c>
    </row>
    <row r="55" spans="6:6" x14ac:dyDescent="0.2">
      <c r="F55" s="19">
        <v>-8.4</v>
      </c>
    </row>
    <row r="56" spans="6:6" x14ac:dyDescent="0.2">
      <c r="F56" s="19">
        <v>7.7</v>
      </c>
    </row>
    <row r="57" spans="6:6" x14ac:dyDescent="0.2">
      <c r="F57" s="19">
        <v>-9.6</v>
      </c>
    </row>
    <row r="58" spans="6:6" x14ac:dyDescent="0.2">
      <c r="F58" s="19">
        <v>6</v>
      </c>
    </row>
    <row r="59" spans="6:6" x14ac:dyDescent="0.2">
      <c r="F59" s="19">
        <v>6.8</v>
      </c>
    </row>
    <row r="60" spans="6:6" x14ac:dyDescent="0.2">
      <c r="F60" s="19">
        <v>10.9</v>
      </c>
    </row>
    <row r="61" spans="6:6" x14ac:dyDescent="0.2">
      <c r="F61" s="19">
        <v>1.6</v>
      </c>
    </row>
    <row r="62" spans="6:6" x14ac:dyDescent="0.2">
      <c r="F62" s="19">
        <v>0.2</v>
      </c>
    </row>
    <row r="63" spans="6:6" x14ac:dyDescent="0.2">
      <c r="F63" s="19">
        <v>-2.4</v>
      </c>
    </row>
    <row r="64" spans="6:6" x14ac:dyDescent="0.2">
      <c r="F64" s="19">
        <v>-2.4</v>
      </c>
    </row>
    <row r="65" spans="6:6" x14ac:dyDescent="0.2">
      <c r="F65" s="19">
        <v>3.9</v>
      </c>
    </row>
    <row r="66" spans="6:6" x14ac:dyDescent="0.2">
      <c r="F66" s="19">
        <v>1.7</v>
      </c>
    </row>
    <row r="67" spans="6:6" x14ac:dyDescent="0.2">
      <c r="F67" s="19">
        <v>9</v>
      </c>
    </row>
    <row r="68" spans="6:6" x14ac:dyDescent="0.2">
      <c r="F68" s="19">
        <v>3.6</v>
      </c>
    </row>
    <row r="69" spans="6:6" x14ac:dyDescent="0.2">
      <c r="F69" s="19">
        <v>7.6</v>
      </c>
    </row>
    <row r="70" spans="6:6" x14ac:dyDescent="0.2">
      <c r="F70" s="19">
        <v>3.2</v>
      </c>
    </row>
    <row r="71" spans="6:6" x14ac:dyDescent="0.2">
      <c r="F71" s="19">
        <v>-3.7</v>
      </c>
    </row>
    <row r="72" spans="6:6" x14ac:dyDescent="0.2">
      <c r="F72" s="19">
        <v>4.2</v>
      </c>
    </row>
    <row r="73" spans="6:6" x14ac:dyDescent="0.2">
      <c r="F73" s="19">
        <v>13.2</v>
      </c>
    </row>
    <row r="74" spans="6:6" x14ac:dyDescent="0.2">
      <c r="F74" s="19">
        <v>0.9</v>
      </c>
    </row>
    <row r="75" spans="6:6" x14ac:dyDescent="0.2">
      <c r="F75" s="19">
        <v>4.2</v>
      </c>
    </row>
    <row r="76" spans="6:6" x14ac:dyDescent="0.2">
      <c r="F76" s="19">
        <v>4</v>
      </c>
    </row>
    <row r="77" spans="6:6" x14ac:dyDescent="0.2">
      <c r="F77" s="19">
        <v>2.8</v>
      </c>
    </row>
    <row r="78" spans="6:6" x14ac:dyDescent="0.2">
      <c r="F78" s="19">
        <v>6.7</v>
      </c>
    </row>
    <row r="79" spans="6:6" x14ac:dyDescent="0.2">
      <c r="F79" s="19">
        <v>-10.4</v>
      </c>
    </row>
    <row r="80" spans="6:6" x14ac:dyDescent="0.2">
      <c r="F80" s="19">
        <v>2.7</v>
      </c>
    </row>
    <row r="81" spans="6:13" ht="14.25" x14ac:dyDescent="0.2">
      <c r="F81" s="19">
        <v>10.3</v>
      </c>
      <c r="M81"/>
    </row>
    <row r="82" spans="6:13" ht="14.25" x14ac:dyDescent="0.2">
      <c r="F82" s="19">
        <v>5.7</v>
      </c>
      <c r="M82"/>
    </row>
    <row r="83" spans="6:13" ht="14.25" x14ac:dyDescent="0.2">
      <c r="F83" s="19">
        <v>0.6</v>
      </c>
      <c r="M83"/>
    </row>
    <row r="84" spans="6:13" ht="14.25" x14ac:dyDescent="0.2">
      <c r="F84" s="19">
        <v>-14.2</v>
      </c>
      <c r="M84"/>
    </row>
    <row r="85" spans="6:13" ht="14.25" x14ac:dyDescent="0.2">
      <c r="F85" s="19">
        <v>1.3</v>
      </c>
      <c r="M85"/>
    </row>
    <row r="86" spans="6:13" ht="14.25" x14ac:dyDescent="0.2">
      <c r="F86" s="19">
        <v>2.9</v>
      </c>
      <c r="M86"/>
    </row>
    <row r="87" spans="6:13" ht="14.25" x14ac:dyDescent="0.2">
      <c r="F87" s="19">
        <v>11.8</v>
      </c>
      <c r="M87"/>
    </row>
    <row r="88" spans="6:13" ht="14.25" x14ac:dyDescent="0.2">
      <c r="F88" s="19">
        <v>10.6</v>
      </c>
      <c r="M88"/>
    </row>
    <row r="89" spans="6:13" ht="14.25" x14ac:dyDescent="0.2">
      <c r="F89" s="19">
        <v>5.2</v>
      </c>
      <c r="M89"/>
    </row>
    <row r="90" spans="6:13" ht="14.25" x14ac:dyDescent="0.2">
      <c r="F90" s="19">
        <v>13.8</v>
      </c>
      <c r="M90"/>
    </row>
    <row r="91" spans="6:13" ht="14.25" x14ac:dyDescent="0.2">
      <c r="F91" s="19">
        <v>-14.7</v>
      </c>
      <c r="M91"/>
    </row>
    <row r="92" spans="6:13" ht="14.25" x14ac:dyDescent="0.2">
      <c r="F92" s="19">
        <v>3.5</v>
      </c>
      <c r="M92"/>
    </row>
    <row r="93" spans="6:13" ht="14.25" x14ac:dyDescent="0.2">
      <c r="F93" s="19">
        <v>11.7</v>
      </c>
      <c r="M93"/>
    </row>
    <row r="94" spans="6:13" x14ac:dyDescent="0.2">
      <c r="F94" s="19">
        <v>1.3</v>
      </c>
    </row>
  </sheetData>
  <phoneticPr fontId="9" type="noConversion"/>
  <conditionalFormatting sqref="K12:K17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{A518732D-9E66-4E05-8E10-FBCC37D5ADF7}</x14:id>
        </ext>
      </extLst>
    </cfRule>
  </conditionalFormatting>
  <printOptions horizontalCentered="1"/>
  <pageMargins left="0.75" right="0.75" top="1.57" bottom="1" header="0.5" footer="0.5"/>
  <pageSetup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18732D-9E66-4E05-8E10-FBCC37D5AD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K12:K17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S21"/>
  <sheetViews>
    <sheetView zoomScale="85" zoomScaleNormal="85" workbookViewId="0"/>
  </sheetViews>
  <sheetFormatPr defaultColWidth="9" defaultRowHeight="14.25" outlineLevelRow="4" outlineLevelCol="2" x14ac:dyDescent="0.2"/>
  <cols>
    <col min="1" max="1" width="9" style="101"/>
    <col min="2" max="2" width="13.625" style="101" customWidth="1"/>
    <col min="3" max="5" width="9" style="101" hidden="1" customWidth="1" outlineLevel="2"/>
    <col min="6" max="6" width="9" style="101" hidden="1" customWidth="1" outlineLevel="1" collapsed="1"/>
    <col min="7" max="9" width="9" style="101" hidden="1" customWidth="1" outlineLevel="2"/>
    <col min="10" max="10" width="9" style="101" hidden="1" customWidth="1" outlineLevel="1" collapsed="1"/>
    <col min="11" max="12" width="9" style="101" hidden="1" customWidth="1" outlineLevel="2"/>
    <col min="13" max="13" width="10.625" style="101" hidden="1" customWidth="1" outlineLevel="2"/>
    <col min="14" max="14" width="9.25" style="101" hidden="1" customWidth="1" outlineLevel="1" collapsed="1"/>
    <col min="15" max="15" width="9" style="101" hidden="1" customWidth="1" outlineLevel="2"/>
    <col min="16" max="16" width="10.125" style="101" hidden="1" customWidth="1" outlineLevel="2"/>
    <col min="17" max="17" width="10" style="101" hidden="1" customWidth="1" outlineLevel="2"/>
    <col min="18" max="18" width="9" style="101" hidden="1" customWidth="1" outlineLevel="1" collapsed="1"/>
    <col min="19" max="19" width="11.25" style="101" bestFit="1" customWidth="1" collapsed="1"/>
    <col min="20" max="16384" width="9" style="101"/>
  </cols>
  <sheetData>
    <row r="2" spans="2:19" ht="15" x14ac:dyDescent="0.25">
      <c r="B2" s="34"/>
    </row>
    <row r="3" spans="2:19" ht="15" x14ac:dyDescent="0.25">
      <c r="B3" s="34" t="s">
        <v>174</v>
      </c>
    </row>
    <row r="6" spans="2:19" ht="15" x14ac:dyDescent="0.25">
      <c r="B6" s="102" t="s">
        <v>93</v>
      </c>
      <c r="C6" s="103" t="s">
        <v>190</v>
      </c>
      <c r="D6" s="103" t="s">
        <v>191</v>
      </c>
      <c r="E6" s="103" t="s">
        <v>180</v>
      </c>
      <c r="F6" s="104" t="s">
        <v>176</v>
      </c>
      <c r="G6" s="103" t="s">
        <v>181</v>
      </c>
      <c r="H6" s="103" t="s">
        <v>182</v>
      </c>
      <c r="I6" s="103" t="s">
        <v>183</v>
      </c>
      <c r="J6" s="104" t="s">
        <v>177</v>
      </c>
      <c r="K6" s="103" t="s">
        <v>184</v>
      </c>
      <c r="L6" s="103" t="s">
        <v>185</v>
      </c>
      <c r="M6" s="103" t="s">
        <v>186</v>
      </c>
      <c r="N6" s="104" t="s">
        <v>178</v>
      </c>
      <c r="O6" s="103" t="s">
        <v>187</v>
      </c>
      <c r="P6" s="103" t="s">
        <v>188</v>
      </c>
      <c r="Q6" s="103" t="s">
        <v>189</v>
      </c>
      <c r="R6" s="104" t="s">
        <v>179</v>
      </c>
      <c r="S6" s="102" t="s">
        <v>195</v>
      </c>
    </row>
    <row r="7" spans="2:19" ht="15" hidden="1" outlineLevel="4" x14ac:dyDescent="0.25">
      <c r="B7" s="101" t="s">
        <v>103</v>
      </c>
      <c r="C7" s="105">
        <v>1130</v>
      </c>
      <c r="D7" s="105">
        <v>1243</v>
      </c>
      <c r="E7" s="105">
        <v>1367.3000000000002</v>
      </c>
      <c r="F7" s="106">
        <f>SUM(C7:E7)</f>
        <v>3740.3</v>
      </c>
      <c r="G7" s="105">
        <v>1654.4330000000007</v>
      </c>
      <c r="H7" s="105">
        <v>1819.8763000000008</v>
      </c>
      <c r="I7" s="105">
        <v>2001.8639300000011</v>
      </c>
      <c r="J7" s="106">
        <f>SUM(G7:I7)</f>
        <v>5476.1732300000031</v>
      </c>
      <c r="K7" s="105">
        <v>2422.2553553000016</v>
      </c>
      <c r="L7" s="105">
        <v>2664.480890830002</v>
      </c>
      <c r="M7" s="105">
        <v>2930.9289799130024</v>
      </c>
      <c r="N7" s="106">
        <f>SUM(K7:M7)</f>
        <v>8017.6652260430055</v>
      </c>
      <c r="O7" s="105">
        <v>3546.4240656947336</v>
      </c>
      <c r="P7" s="105">
        <v>3901.0664722642073</v>
      </c>
      <c r="Q7" s="105">
        <v>4291.1731194906288</v>
      </c>
      <c r="R7" s="106">
        <f>SUM(O7:Q7)</f>
        <v>11738.66365744957</v>
      </c>
      <c r="S7" s="106">
        <f>SUM(R7,N7,J7,F7)</f>
        <v>28972.80211349258</v>
      </c>
    </row>
    <row r="8" spans="2:19" ht="15" hidden="1" outlineLevel="4" x14ac:dyDescent="0.25">
      <c r="B8" s="101" t="s">
        <v>104</v>
      </c>
      <c r="C8" s="105">
        <v>890</v>
      </c>
      <c r="D8" s="105">
        <v>987.90000000000009</v>
      </c>
      <c r="E8" s="105">
        <v>1096.5690000000002</v>
      </c>
      <c r="F8" s="106">
        <f t="shared" ref="F8:F9" si="0">SUM(C8:E8)</f>
        <v>2974.4690000000001</v>
      </c>
      <c r="G8" s="105">
        <v>1351.0826649000005</v>
      </c>
      <c r="H8" s="105">
        <v>1499.7017580390007</v>
      </c>
      <c r="I8" s="105">
        <v>1664.6689514232908</v>
      </c>
      <c r="J8" s="106">
        <f t="shared" ref="J8:J9" si="1">SUM(G8:I8)</f>
        <v>4515.4533743622924</v>
      </c>
      <c r="K8" s="105">
        <v>2051.038615048637</v>
      </c>
      <c r="L8" s="105">
        <v>2276.6528627039875</v>
      </c>
      <c r="M8" s="105">
        <v>2527.0846776014264</v>
      </c>
      <c r="N8" s="106">
        <f t="shared" ref="N8:N9" si="2">SUM(K8:M8)</f>
        <v>6854.7761553540513</v>
      </c>
      <c r="O8" s="105">
        <v>3113.621031272718</v>
      </c>
      <c r="P8" s="105">
        <v>3456.1193447127175</v>
      </c>
      <c r="Q8" s="105">
        <v>3836.2924726311167</v>
      </c>
      <c r="R8" s="106">
        <f t="shared" ref="R8:R19" si="3">SUM(O8:Q8)</f>
        <v>10406.032848616553</v>
      </c>
      <c r="S8" s="106">
        <f t="shared" ref="S8:S9" si="4">SUM(R8,N8,J8,F8)</f>
        <v>24750.731378332897</v>
      </c>
    </row>
    <row r="9" spans="2:19" ht="15" hidden="1" outlineLevel="4" x14ac:dyDescent="0.25">
      <c r="B9" s="107" t="s">
        <v>97</v>
      </c>
      <c r="C9" s="108">
        <v>4210</v>
      </c>
      <c r="D9" s="108">
        <v>4588.9000000000005</v>
      </c>
      <c r="E9" s="108">
        <v>5001.9010000000007</v>
      </c>
      <c r="F9" s="109">
        <f t="shared" si="0"/>
        <v>13800.801000000003</v>
      </c>
      <c r="G9" s="108">
        <v>5942.7585781000016</v>
      </c>
      <c r="H9" s="108">
        <v>6477.6068501290019</v>
      </c>
      <c r="I9" s="108">
        <v>7060.5914666406125</v>
      </c>
      <c r="J9" s="109">
        <f t="shared" si="1"/>
        <v>19480.956894869618</v>
      </c>
      <c r="K9" s="108">
        <v>8388.688721515713</v>
      </c>
      <c r="L9" s="108">
        <v>9143.670706452127</v>
      </c>
      <c r="M9" s="108">
        <v>9966.6010700328188</v>
      </c>
      <c r="N9" s="109">
        <f t="shared" si="2"/>
        <v>27498.960498000659</v>
      </c>
      <c r="O9" s="108">
        <v>11841.318731305993</v>
      </c>
      <c r="P9" s="108">
        <v>12907.037417123534</v>
      </c>
      <c r="Q9" s="108">
        <v>14068.670784664653</v>
      </c>
      <c r="R9" s="109">
        <f t="shared" si="3"/>
        <v>38817.026933094181</v>
      </c>
      <c r="S9" s="109">
        <f t="shared" si="4"/>
        <v>99597.745325964468</v>
      </c>
    </row>
    <row r="10" spans="2:19" ht="15" hidden="1" outlineLevel="3" collapsed="1" x14ac:dyDescent="0.25">
      <c r="B10" s="110" t="s">
        <v>196</v>
      </c>
      <c r="C10" s="105">
        <f>SUM(C7:C9)</f>
        <v>6230</v>
      </c>
      <c r="D10" s="105">
        <f t="shared" ref="D10:R19" si="5">SUM(D7:D9)</f>
        <v>6819.8000000000011</v>
      </c>
      <c r="E10" s="105">
        <f t="shared" si="5"/>
        <v>7465.7700000000013</v>
      </c>
      <c r="F10" s="106">
        <f t="shared" si="5"/>
        <v>20515.570000000003</v>
      </c>
      <c r="G10" s="105">
        <f t="shared" si="5"/>
        <v>8948.2742430000035</v>
      </c>
      <c r="H10" s="105">
        <f t="shared" si="5"/>
        <v>9797.1849081680029</v>
      </c>
      <c r="I10" s="105">
        <f t="shared" si="5"/>
        <v>10727.124348063904</v>
      </c>
      <c r="J10" s="106">
        <f t="shared" si="5"/>
        <v>29472.583499231914</v>
      </c>
      <c r="K10" s="105">
        <f t="shared" si="5"/>
        <v>12861.982691864352</v>
      </c>
      <c r="L10" s="105">
        <f t="shared" si="5"/>
        <v>14084.804459986117</v>
      </c>
      <c r="M10" s="105">
        <f t="shared" si="5"/>
        <v>15424.614727547247</v>
      </c>
      <c r="N10" s="106">
        <f t="shared" si="5"/>
        <v>42371.401879397716</v>
      </c>
      <c r="O10" s="105">
        <f t="shared" si="5"/>
        <v>18501.363828273446</v>
      </c>
      <c r="P10" s="105">
        <f t="shared" si="5"/>
        <v>20264.22323410046</v>
      </c>
      <c r="Q10" s="105">
        <f t="shared" si="5"/>
        <v>22196.136376786399</v>
      </c>
      <c r="R10" s="106">
        <f t="shared" si="3"/>
        <v>60961.723439160298</v>
      </c>
      <c r="S10" s="106">
        <f>SUM(R10,N10,J10,F10)</f>
        <v>153321.27881778992</v>
      </c>
    </row>
    <row r="11" spans="2:19" ht="15" hidden="1" outlineLevel="3" x14ac:dyDescent="0.25">
      <c r="C11" s="105"/>
      <c r="D11" s="105"/>
      <c r="E11" s="105"/>
      <c r="F11" s="106"/>
      <c r="G11" s="105"/>
      <c r="H11" s="105"/>
      <c r="I11" s="105"/>
      <c r="J11" s="106"/>
      <c r="K11" s="105"/>
      <c r="L11" s="105"/>
      <c r="M11" s="105"/>
      <c r="N11" s="106"/>
      <c r="O11" s="105"/>
      <c r="P11" s="105"/>
      <c r="Q11" s="105"/>
      <c r="R11" s="106"/>
      <c r="S11" s="102"/>
    </row>
    <row r="12" spans="2:19" ht="15" hidden="1" outlineLevel="3" x14ac:dyDescent="0.25">
      <c r="B12" s="101" t="s">
        <v>197</v>
      </c>
      <c r="C12" s="105">
        <v>1126</v>
      </c>
      <c r="D12" s="105">
        <v>1153.0240000000001</v>
      </c>
      <c r="E12" s="105">
        <v>1180.6965760000001</v>
      </c>
      <c r="F12" s="106">
        <f t="shared" si="5"/>
        <v>34316.371000000006</v>
      </c>
      <c r="G12" s="105">
        <v>1238.050092875776</v>
      </c>
      <c r="H12" s="105">
        <v>1267.7632951047947</v>
      </c>
      <c r="I12" s="105">
        <v>1298.1896141873099</v>
      </c>
      <c r="J12" s="106">
        <f t="shared" si="5"/>
        <v>48953.540394101532</v>
      </c>
      <c r="K12" s="105">
        <v>1361.2504728860727</v>
      </c>
      <c r="L12" s="105">
        <v>1393.9204842353383</v>
      </c>
      <c r="M12" s="105">
        <v>1427.3745758569864</v>
      </c>
      <c r="N12" s="106">
        <f t="shared" si="5"/>
        <v>69870.362377398371</v>
      </c>
      <c r="O12" s="105">
        <v>1496.7107232538156</v>
      </c>
      <c r="P12" s="105">
        <v>1532.6317806119071</v>
      </c>
      <c r="Q12" s="105">
        <v>1569.414943346593</v>
      </c>
      <c r="R12" s="106">
        <f t="shared" si="3"/>
        <v>4598.7574472123151</v>
      </c>
      <c r="S12" s="106">
        <f>SUM(R12,N12,J12,F12)</f>
        <v>157739.03121871222</v>
      </c>
    </row>
    <row r="13" spans="2:19" ht="15" hidden="1" outlineLevel="3" x14ac:dyDescent="0.25">
      <c r="B13" s="101" t="s">
        <v>198</v>
      </c>
      <c r="C13" s="105">
        <v>2104</v>
      </c>
      <c r="D13" s="105">
        <v>2154.4960000000001</v>
      </c>
      <c r="E13" s="105">
        <v>2206.203904</v>
      </c>
      <c r="F13" s="106">
        <f t="shared" si="5"/>
        <v>54831.941000000006</v>
      </c>
      <c r="G13" s="105">
        <v>2313.3724648407042</v>
      </c>
      <c r="H13" s="105">
        <v>2368.8934039968813</v>
      </c>
      <c r="I13" s="105">
        <v>2425.7468456928063</v>
      </c>
      <c r="J13" s="106">
        <f t="shared" si="5"/>
        <v>78426.123893333453</v>
      </c>
      <c r="K13" s="105">
        <v>2543.5799244691798</v>
      </c>
      <c r="L13" s="105">
        <v>2604.62584265644</v>
      </c>
      <c r="M13" s="105">
        <v>2667.1368628801947</v>
      </c>
      <c r="N13" s="106">
        <f t="shared" si="5"/>
        <v>112241.76425679609</v>
      </c>
      <c r="O13" s="105">
        <v>2796.6957031314628</v>
      </c>
      <c r="P13" s="105">
        <v>2863.8164000066181</v>
      </c>
      <c r="Q13" s="105">
        <v>2932.5479936067768</v>
      </c>
      <c r="R13" s="106">
        <f t="shared" si="3"/>
        <v>8593.0600967448572</v>
      </c>
      <c r="S13" s="106">
        <f>SUM(R13,N13,J13,F13)</f>
        <v>254092.88924687437</v>
      </c>
    </row>
    <row r="14" spans="2:19" ht="15" hidden="1" outlineLevel="3" x14ac:dyDescent="0.25">
      <c r="B14" s="107" t="s">
        <v>199</v>
      </c>
      <c r="C14" s="108">
        <v>980</v>
      </c>
      <c r="D14" s="108">
        <v>1003.52</v>
      </c>
      <c r="E14" s="108">
        <v>1027.60448</v>
      </c>
      <c r="F14" s="109">
        <f t="shared" si="5"/>
        <v>89148.312000000005</v>
      </c>
      <c r="G14" s="108">
        <v>1077.5213952204799</v>
      </c>
      <c r="H14" s="108">
        <v>1103.3819087057714</v>
      </c>
      <c r="I14" s="108">
        <v>1129.86307451471</v>
      </c>
      <c r="J14" s="109">
        <f t="shared" si="5"/>
        <v>127379.66428743498</v>
      </c>
      <c r="K14" s="108">
        <v>1184.7473032223365</v>
      </c>
      <c r="L14" s="108">
        <v>1213.1812384996726</v>
      </c>
      <c r="M14" s="108">
        <v>1242.2975882236649</v>
      </c>
      <c r="N14" s="109">
        <f t="shared" si="5"/>
        <v>182112.12663419446</v>
      </c>
      <c r="O14" s="108">
        <v>1302.6434358692177</v>
      </c>
      <c r="P14" s="108">
        <v>1333.9068783300788</v>
      </c>
      <c r="Q14" s="108">
        <v>1365.9206434100008</v>
      </c>
      <c r="R14" s="109">
        <f t="shared" si="3"/>
        <v>4002.4709576092973</v>
      </c>
      <c r="S14" s="109">
        <f t="shared" ref="S14:S15" si="6">SUM(R14,N14,J14,F14)</f>
        <v>402642.5738792388</v>
      </c>
    </row>
    <row r="15" spans="2:19" ht="15" hidden="1" outlineLevel="2" collapsed="1" x14ac:dyDescent="0.25">
      <c r="B15" s="110" t="s">
        <v>200</v>
      </c>
      <c r="C15" s="105">
        <f>SUM(C12:C14)</f>
        <v>4210</v>
      </c>
      <c r="D15" s="105">
        <f t="shared" ref="D15:I15" si="7">SUM(D12:D14)</f>
        <v>4311.0400000000009</v>
      </c>
      <c r="E15" s="105">
        <f t="shared" si="7"/>
        <v>4414.5049600000002</v>
      </c>
      <c r="F15" s="106">
        <f t="shared" si="7"/>
        <v>178296.62400000001</v>
      </c>
      <c r="G15" s="105">
        <f t="shared" si="7"/>
        <v>4628.9439529369602</v>
      </c>
      <c r="H15" s="105">
        <f t="shared" si="7"/>
        <v>4740.038607807448</v>
      </c>
      <c r="I15" s="105">
        <f t="shared" si="7"/>
        <v>4853.799534394826</v>
      </c>
      <c r="J15" s="106">
        <f t="shared" si="5"/>
        <v>254759.32857486996</v>
      </c>
      <c r="K15" s="105">
        <f t="shared" si="5"/>
        <v>5089.577700577589</v>
      </c>
      <c r="L15" s="105">
        <f t="shared" si="5"/>
        <v>5211.7275653914512</v>
      </c>
      <c r="M15" s="105">
        <f t="shared" si="5"/>
        <v>5336.8090269608465</v>
      </c>
      <c r="N15" s="106">
        <f t="shared" si="5"/>
        <v>364224.25326838891</v>
      </c>
      <c r="O15" s="105">
        <f t="shared" si="5"/>
        <v>5596.0498622544956</v>
      </c>
      <c r="P15" s="105">
        <f t="shared" si="5"/>
        <v>5730.355058948604</v>
      </c>
      <c r="Q15" s="105">
        <f t="shared" si="5"/>
        <v>5867.8835803633701</v>
      </c>
      <c r="R15" s="106">
        <f t="shared" si="5"/>
        <v>17194.288501566469</v>
      </c>
      <c r="S15" s="106">
        <f t="shared" si="6"/>
        <v>814474.49434482539</v>
      </c>
    </row>
    <row r="16" spans="2:19" ht="15" hidden="1" outlineLevel="2" x14ac:dyDescent="0.25">
      <c r="C16" s="105"/>
      <c r="D16" s="105"/>
      <c r="E16" s="105"/>
      <c r="F16" s="106"/>
      <c r="G16" s="105"/>
      <c r="H16" s="105"/>
      <c r="I16" s="105"/>
      <c r="J16" s="106"/>
      <c r="K16" s="105"/>
      <c r="L16" s="105"/>
      <c r="M16" s="105"/>
      <c r="N16" s="106"/>
      <c r="O16" s="105"/>
      <c r="P16" s="105"/>
      <c r="Q16" s="105"/>
      <c r="R16" s="106"/>
      <c r="S16" s="102"/>
    </row>
    <row r="17" spans="2:19" ht="15" hidden="1" outlineLevel="2" x14ac:dyDescent="0.25">
      <c r="B17" s="101" t="s">
        <v>201</v>
      </c>
      <c r="C17" s="105">
        <v>1500</v>
      </c>
      <c r="D17" s="105">
        <v>1536</v>
      </c>
      <c r="E17" s="105">
        <v>1572.864</v>
      </c>
      <c r="F17" s="106">
        <f t="shared" si="5"/>
        <v>267444.93599999999</v>
      </c>
      <c r="G17" s="105">
        <v>1649.267441664</v>
      </c>
      <c r="H17" s="105">
        <v>1688.8498602639361</v>
      </c>
      <c r="I17" s="105">
        <v>1729.3822569102706</v>
      </c>
      <c r="J17" s="106">
        <f t="shared" si="5"/>
        <v>382138.99286230491</v>
      </c>
      <c r="K17" s="105">
        <v>1813.3887294219439</v>
      </c>
      <c r="L17" s="105">
        <v>1856.9100589280706</v>
      </c>
      <c r="M17" s="105">
        <v>1901.4759003423444</v>
      </c>
      <c r="N17" s="106">
        <f t="shared" si="5"/>
        <v>546336.37990258331</v>
      </c>
      <c r="O17" s="105">
        <v>1993.8419936773741</v>
      </c>
      <c r="P17" s="105">
        <v>2041.6942015256311</v>
      </c>
      <c r="Q17" s="105">
        <v>2090.6948623622461</v>
      </c>
      <c r="R17" s="106">
        <f t="shared" si="3"/>
        <v>6126.2310575652518</v>
      </c>
      <c r="S17" s="106">
        <f>SUM(R17,N17,J17,F17)</f>
        <v>1202046.5398224534</v>
      </c>
    </row>
    <row r="18" spans="2:19" ht="15" hidden="1" outlineLevel="2" x14ac:dyDescent="0.25">
      <c r="B18" s="101" t="s">
        <v>202</v>
      </c>
      <c r="C18" s="105">
        <v>2000</v>
      </c>
      <c r="D18" s="105">
        <v>2048</v>
      </c>
      <c r="E18" s="105">
        <v>2097.152</v>
      </c>
      <c r="F18" s="106">
        <f t="shared" si="5"/>
        <v>445741.56</v>
      </c>
      <c r="G18" s="105">
        <v>2199.0232555520001</v>
      </c>
      <c r="H18" s="105">
        <v>2251.7998136852484</v>
      </c>
      <c r="I18" s="105">
        <v>2305.8430092136946</v>
      </c>
      <c r="J18" s="106">
        <f t="shared" si="5"/>
        <v>636898.32143717492</v>
      </c>
      <c r="K18" s="105">
        <v>2417.851639229259</v>
      </c>
      <c r="L18" s="105">
        <v>2475.8800785707613</v>
      </c>
      <c r="M18" s="105">
        <v>2535.3012004564598</v>
      </c>
      <c r="N18" s="106">
        <f t="shared" si="5"/>
        <v>910560.63317097223</v>
      </c>
      <c r="O18" s="105">
        <v>2658.4559915698328</v>
      </c>
      <c r="P18" s="105">
        <v>2722.2589353675089</v>
      </c>
      <c r="Q18" s="105">
        <v>2787.5931498163291</v>
      </c>
      <c r="R18" s="106">
        <f t="shared" si="3"/>
        <v>8168.3080767536712</v>
      </c>
      <c r="S18" s="106">
        <f t="shared" ref="S18:S19" si="8">SUM(R18,N18,J18,F18)</f>
        <v>2001368.8226849008</v>
      </c>
    </row>
    <row r="19" spans="2:19" ht="15" hidden="1" outlineLevel="2" x14ac:dyDescent="0.25">
      <c r="B19" s="107" t="s">
        <v>203</v>
      </c>
      <c r="C19" s="108">
        <v>3100</v>
      </c>
      <c r="D19" s="108">
        <v>3174.4</v>
      </c>
      <c r="E19" s="108">
        <v>3250.5856000000003</v>
      </c>
      <c r="F19" s="109">
        <f t="shared" si="5"/>
        <v>713186.49600000004</v>
      </c>
      <c r="G19" s="108">
        <v>3408.4860461056005</v>
      </c>
      <c r="H19" s="108">
        <v>3490.289711212135</v>
      </c>
      <c r="I19" s="108">
        <v>3574.0566642812264</v>
      </c>
      <c r="J19" s="109">
        <f t="shared" si="5"/>
        <v>1019037.3142994798</v>
      </c>
      <c r="K19" s="108">
        <v>3747.6700408053516</v>
      </c>
      <c r="L19" s="108">
        <v>3837.6141217846803</v>
      </c>
      <c r="M19" s="108">
        <v>3929.7168607075128</v>
      </c>
      <c r="N19" s="109">
        <f t="shared" si="5"/>
        <v>1456897.0130735557</v>
      </c>
      <c r="O19" s="108">
        <v>4120.606786933241</v>
      </c>
      <c r="P19" s="108">
        <v>4219.5013498196386</v>
      </c>
      <c r="Q19" s="108">
        <v>4320.7693822153096</v>
      </c>
      <c r="R19" s="109">
        <f t="shared" si="3"/>
        <v>12660.877518968187</v>
      </c>
      <c r="S19" s="106">
        <f t="shared" si="8"/>
        <v>3201781.7008920042</v>
      </c>
    </row>
    <row r="20" spans="2:19" ht="15" hidden="1" outlineLevel="1" collapsed="1" x14ac:dyDescent="0.25">
      <c r="B20" s="111" t="s">
        <v>204</v>
      </c>
      <c r="C20" s="112">
        <f>SUM(C17:C19)</f>
        <v>6600</v>
      </c>
      <c r="D20" s="112">
        <f t="shared" ref="D20:R20" si="9">SUM(D17:D19)</f>
        <v>6758.4</v>
      </c>
      <c r="E20" s="112">
        <f t="shared" si="9"/>
        <v>6920.6016</v>
      </c>
      <c r="F20" s="113">
        <f t="shared" si="9"/>
        <v>1426372.9920000001</v>
      </c>
      <c r="G20" s="112">
        <f t="shared" si="9"/>
        <v>7256.7767433216004</v>
      </c>
      <c r="H20" s="112">
        <f t="shared" si="9"/>
        <v>7430.9393851613195</v>
      </c>
      <c r="I20" s="112">
        <f t="shared" si="9"/>
        <v>7609.2819304051918</v>
      </c>
      <c r="J20" s="113">
        <f t="shared" si="9"/>
        <v>2038074.6285989597</v>
      </c>
      <c r="K20" s="112">
        <f t="shared" si="9"/>
        <v>7978.9104094565537</v>
      </c>
      <c r="L20" s="112">
        <f t="shared" si="9"/>
        <v>8170.4042592835121</v>
      </c>
      <c r="M20" s="112">
        <f t="shared" si="9"/>
        <v>8366.4939615063158</v>
      </c>
      <c r="N20" s="113">
        <f t="shared" si="9"/>
        <v>2913794.0261471113</v>
      </c>
      <c r="O20" s="112">
        <f t="shared" si="9"/>
        <v>8772.9047721804491</v>
      </c>
      <c r="P20" s="112">
        <f t="shared" si="9"/>
        <v>8983.4544867127788</v>
      </c>
      <c r="Q20" s="112">
        <f t="shared" si="9"/>
        <v>9199.0573943938834</v>
      </c>
      <c r="R20" s="113">
        <f t="shared" si="9"/>
        <v>26955.41665328711</v>
      </c>
      <c r="S20" s="113">
        <f>SUM(R20,N20,J20,F20)</f>
        <v>6405197.0633993577</v>
      </c>
    </row>
    <row r="21" spans="2:19" ht="15" collapsed="1" x14ac:dyDescent="0.25">
      <c r="B21" s="110" t="s">
        <v>195</v>
      </c>
      <c r="C21" s="105">
        <f>SUM(C10,C15,C20)</f>
        <v>17040</v>
      </c>
      <c r="D21" s="105">
        <f t="shared" ref="D21:R21" si="10">SUM(D10,D15,D20)</f>
        <v>17889.240000000002</v>
      </c>
      <c r="E21" s="105">
        <f t="shared" si="10"/>
        <v>18800.876560000004</v>
      </c>
      <c r="F21" s="106">
        <f t="shared" si="10"/>
        <v>1625185.1860000002</v>
      </c>
      <c r="G21" s="105">
        <f t="shared" si="10"/>
        <v>20833.994939258562</v>
      </c>
      <c r="H21" s="105">
        <f t="shared" si="10"/>
        <v>21968.16290113677</v>
      </c>
      <c r="I21" s="105">
        <f t="shared" si="10"/>
        <v>23190.205812863922</v>
      </c>
      <c r="J21" s="106">
        <f t="shared" si="10"/>
        <v>2322306.5406730613</v>
      </c>
      <c r="K21" s="105">
        <f t="shared" si="10"/>
        <v>25930.470801898497</v>
      </c>
      <c r="L21" s="105">
        <f t="shared" si="10"/>
        <v>27466.936284661082</v>
      </c>
      <c r="M21" s="105">
        <f t="shared" si="10"/>
        <v>29127.91771601441</v>
      </c>
      <c r="N21" s="106">
        <f t="shared" si="10"/>
        <v>3320389.681294898</v>
      </c>
      <c r="O21" s="105">
        <f t="shared" si="10"/>
        <v>32870.31846270839</v>
      </c>
      <c r="P21" s="105">
        <f t="shared" si="10"/>
        <v>34978.032779761845</v>
      </c>
      <c r="Q21" s="105">
        <f t="shared" si="10"/>
        <v>37263.077351543652</v>
      </c>
      <c r="R21" s="106">
        <f t="shared" si="10"/>
        <v>105111.42859401388</v>
      </c>
      <c r="S21" s="106">
        <f>SUM(R21,N21,J21,F21)</f>
        <v>7372992.8365619741</v>
      </c>
    </row>
  </sheetData>
  <dataValidations count="1">
    <dataValidation type="custom" allowBlank="1" showInputMessage="1" showErrorMessage="1" sqref="B6:S21">
      <formula1>"&lt;= 100"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40"/>
  <sheetViews>
    <sheetView zoomScaleNormal="100" workbookViewId="0"/>
  </sheetViews>
  <sheetFormatPr defaultRowHeight="14.25" x14ac:dyDescent="0.2"/>
  <cols>
    <col min="2" max="2" width="10.5" customWidth="1"/>
    <col min="10" max="10" width="9" customWidth="1"/>
  </cols>
  <sheetData>
    <row r="2" spans="2:10" ht="15" x14ac:dyDescent="0.25">
      <c r="B2" s="34"/>
    </row>
    <row r="3" spans="2:10" ht="15" x14ac:dyDescent="0.25">
      <c r="B3" s="34" t="s">
        <v>175</v>
      </c>
    </row>
    <row r="5" spans="2:10" ht="15.75" thickBot="1" x14ac:dyDescent="0.3">
      <c r="H5" s="102" t="s">
        <v>213</v>
      </c>
      <c r="I5" s="101"/>
      <c r="J5" s="101"/>
    </row>
    <row r="6" spans="2:10" ht="15.75" thickBot="1" x14ac:dyDescent="0.3">
      <c r="B6" s="72"/>
      <c r="C6" s="97" t="s">
        <v>176</v>
      </c>
      <c r="D6" s="97" t="s">
        <v>177</v>
      </c>
      <c r="E6" s="97" t="s">
        <v>178</v>
      </c>
      <c r="F6" s="97" t="s">
        <v>179</v>
      </c>
      <c r="H6" s="114">
        <v>100</v>
      </c>
      <c r="I6" s="101"/>
      <c r="J6" s="102" t="s">
        <v>214</v>
      </c>
    </row>
    <row r="7" spans="2:10" ht="15" x14ac:dyDescent="0.25">
      <c r="B7" s="97" t="s">
        <v>180</v>
      </c>
      <c r="C7" s="72">
        <v>55</v>
      </c>
      <c r="D7" s="72">
        <v>68</v>
      </c>
      <c r="E7" s="72">
        <v>100</v>
      </c>
      <c r="F7" s="72">
        <v>68</v>
      </c>
      <c r="H7" s="101"/>
      <c r="I7" s="101"/>
      <c r="J7" s="115">
        <v>10</v>
      </c>
    </row>
    <row r="8" spans="2:10" ht="15" x14ac:dyDescent="0.25">
      <c r="B8" s="97" t="s">
        <v>181</v>
      </c>
      <c r="C8" s="72">
        <v>68</v>
      </c>
      <c r="D8" s="72">
        <v>72</v>
      </c>
      <c r="E8" s="72">
        <v>88</v>
      </c>
      <c r="F8" s="72">
        <v>33</v>
      </c>
      <c r="H8" s="101"/>
      <c r="I8" s="101"/>
      <c r="J8" s="115">
        <v>20</v>
      </c>
    </row>
    <row r="9" spans="2:10" ht="15" x14ac:dyDescent="0.25">
      <c r="B9" s="97" t="s">
        <v>182</v>
      </c>
      <c r="C9" s="72">
        <v>108</v>
      </c>
      <c r="D9" s="72">
        <v>91</v>
      </c>
      <c r="E9" s="72">
        <v>43</v>
      </c>
      <c r="F9" s="72">
        <v>96</v>
      </c>
      <c r="H9" s="101"/>
      <c r="I9" s="101"/>
      <c r="J9" s="115">
        <v>30</v>
      </c>
    </row>
    <row r="10" spans="2:10" ht="15" x14ac:dyDescent="0.25">
      <c r="B10" s="97" t="s">
        <v>183</v>
      </c>
      <c r="C10" s="72">
        <v>96</v>
      </c>
      <c r="D10" s="72">
        <v>88</v>
      </c>
      <c r="E10" s="72">
        <v>25</v>
      </c>
      <c r="F10" s="72">
        <v>401</v>
      </c>
      <c r="H10" s="101"/>
      <c r="I10" s="101"/>
      <c r="J10" s="115">
        <v>40</v>
      </c>
    </row>
    <row r="11" spans="2:10" ht="15" x14ac:dyDescent="0.25">
      <c r="B11" s="97" t="s">
        <v>184</v>
      </c>
      <c r="C11" s="72">
        <v>40</v>
      </c>
      <c r="D11" s="72">
        <v>580</v>
      </c>
      <c r="E11" s="72">
        <v>38</v>
      </c>
      <c r="F11" s="72">
        <v>68</v>
      </c>
      <c r="H11" s="101"/>
      <c r="I11" s="101"/>
      <c r="J11" s="115">
        <v>50</v>
      </c>
    </row>
    <row r="12" spans="2:10" ht="15" x14ac:dyDescent="0.25">
      <c r="B12" s="97" t="s">
        <v>185</v>
      </c>
      <c r="C12" s="72">
        <v>68</v>
      </c>
      <c r="D12" s="72">
        <v>33</v>
      </c>
      <c r="E12" s="72">
        <v>44</v>
      </c>
      <c r="F12" s="72">
        <v>12</v>
      </c>
      <c r="H12" s="101"/>
      <c r="I12" s="101"/>
      <c r="J12" s="115">
        <v>60</v>
      </c>
    </row>
    <row r="13" spans="2:10" ht="15" x14ac:dyDescent="0.25">
      <c r="B13" s="97" t="s">
        <v>186</v>
      </c>
      <c r="C13" s="72">
        <v>72</v>
      </c>
      <c r="D13" s="72">
        <v>96</v>
      </c>
      <c r="E13" s="72">
        <v>86</v>
      </c>
      <c r="F13" s="72">
        <v>800</v>
      </c>
      <c r="H13" s="101"/>
      <c r="I13" s="101"/>
      <c r="J13" s="115">
        <v>70</v>
      </c>
    </row>
    <row r="14" spans="2:10" ht="15" x14ac:dyDescent="0.25">
      <c r="B14" s="97" t="s">
        <v>187</v>
      </c>
      <c r="C14" s="72">
        <v>91</v>
      </c>
      <c r="D14" s="72">
        <v>400</v>
      </c>
      <c r="E14" s="72">
        <v>35</v>
      </c>
      <c r="F14" s="72">
        <v>68</v>
      </c>
      <c r="H14" s="101"/>
      <c r="I14" s="101"/>
      <c r="J14" s="115">
        <v>80</v>
      </c>
    </row>
    <row r="15" spans="2:10" ht="15" x14ac:dyDescent="0.25">
      <c r="B15" s="97" t="s">
        <v>188</v>
      </c>
      <c r="C15" s="72">
        <v>88</v>
      </c>
      <c r="D15" s="72">
        <v>68</v>
      </c>
      <c r="E15" s="72">
        <v>68</v>
      </c>
      <c r="F15" s="72">
        <v>33</v>
      </c>
      <c r="H15" s="101"/>
      <c r="I15" s="101"/>
      <c r="J15" s="115">
        <v>90</v>
      </c>
    </row>
    <row r="16" spans="2:10" ht="15" x14ac:dyDescent="0.25">
      <c r="B16" s="97" t="s">
        <v>189</v>
      </c>
      <c r="C16" s="72">
        <v>43</v>
      </c>
      <c r="D16" s="72">
        <v>91</v>
      </c>
      <c r="E16" s="72">
        <v>701</v>
      </c>
      <c r="F16" s="72">
        <v>96</v>
      </c>
      <c r="H16" s="101"/>
      <c r="I16" s="101"/>
      <c r="J16" s="115">
        <v>100</v>
      </c>
    </row>
    <row r="17" spans="2:6" ht="15" x14ac:dyDescent="0.25">
      <c r="B17" s="97" t="s">
        <v>190</v>
      </c>
      <c r="C17" s="72">
        <v>10</v>
      </c>
      <c r="D17" s="72">
        <v>88</v>
      </c>
      <c r="E17" s="72">
        <v>91</v>
      </c>
      <c r="F17" s="72">
        <v>90</v>
      </c>
    </row>
    <row r="18" spans="2:6" ht="15" x14ac:dyDescent="0.25">
      <c r="B18" s="97" t="s">
        <v>191</v>
      </c>
      <c r="C18" s="72">
        <v>0</v>
      </c>
      <c r="D18" s="72">
        <v>43</v>
      </c>
      <c r="E18" s="72">
        <v>88</v>
      </c>
      <c r="F18" s="72">
        <v>34</v>
      </c>
    </row>
    <row r="29" spans="2:6" ht="14.25" customHeight="1" x14ac:dyDescent="0.2"/>
    <row r="30" spans="2:6" ht="14.25" customHeight="1" x14ac:dyDescent="0.2"/>
    <row r="31" spans="2:6" ht="14.25" customHeight="1" x14ac:dyDescent="0.2"/>
    <row r="32" spans="2:6" ht="14.25" customHeight="1" x14ac:dyDescent="0.2"/>
    <row r="33" ht="14.25" customHeight="1" x14ac:dyDescent="0.2"/>
    <row r="34" ht="14.25" customHeight="1" x14ac:dyDescent="0.2"/>
    <row r="35" ht="14.25" customHeight="1" x14ac:dyDescent="0.2"/>
    <row r="36" ht="14.25" customHeight="1" x14ac:dyDescent="0.2"/>
    <row r="37" ht="14.25" customHeight="1" x14ac:dyDescent="0.2"/>
    <row r="38" ht="14.25" customHeight="1" x14ac:dyDescent="0.2"/>
    <row r="39" ht="14.25" customHeight="1" x14ac:dyDescent="0.2"/>
    <row r="40" ht="14.25" customHeight="1" x14ac:dyDescent="0.2"/>
  </sheetData>
  <conditionalFormatting sqref="C7:F18">
    <cfRule type="expression" dxfId="0" priority="1">
      <formula>C7 &gt;$H$6</formula>
    </cfRule>
  </conditionalFormatting>
  <dataValidations count="2">
    <dataValidation type="list" allowBlank="1" showInputMessage="1" showErrorMessage="1" sqref="H6">
      <formula1>CriteriaList</formula1>
    </dataValidation>
    <dataValidation type="whole" allowBlank="1" showErrorMessage="1" sqref="C7:F18">
      <formula1>0</formula1>
      <formula2>100</formula2>
    </dataValidation>
  </dataValidations>
  <pageMargins left="0.7" right="0.7" top="0.75" bottom="0.75" header="0.3" footer="0.3"/>
  <pageSetup orientation="portrait" horizontalDpi="30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S307"/>
  <sheetViews>
    <sheetView showGridLines="0" zoomScale="80" zoomScaleNormal="80" workbookViewId="0"/>
  </sheetViews>
  <sheetFormatPr defaultColWidth="8" defaultRowHeight="12.75" x14ac:dyDescent="0.2"/>
  <cols>
    <col min="1" max="1" width="4.25" style="28" customWidth="1"/>
    <col min="2" max="2" width="8" style="28" customWidth="1"/>
    <col min="3" max="3" width="9.25" style="28" customWidth="1"/>
    <col min="4" max="4" width="6.75" style="28" customWidth="1"/>
    <col min="5" max="5" width="9.125" style="28" bestFit="1" customWidth="1"/>
    <col min="6" max="6" width="9.5" style="28" bestFit="1" customWidth="1"/>
    <col min="7" max="7" width="9.625" style="28" bestFit="1" customWidth="1"/>
    <col min="8" max="9" width="4.125" style="28" customWidth="1"/>
    <col min="10" max="10" width="13.875" style="28" customWidth="1"/>
    <col min="11" max="11" width="13" style="28" customWidth="1"/>
    <col min="12" max="12" width="14.25" style="28" customWidth="1"/>
    <col min="13" max="13" width="12.75" style="28" customWidth="1"/>
    <col min="14" max="14" width="14.125" style="28" customWidth="1"/>
    <col min="15" max="15" width="12.875" style="28" customWidth="1"/>
    <col min="16" max="16" width="12.5" style="28" customWidth="1"/>
    <col min="17" max="17" width="13.125" style="28" customWidth="1"/>
    <col min="18" max="18" width="14.625" style="28" customWidth="1"/>
    <col min="19" max="19" width="14.375" style="28" customWidth="1"/>
    <col min="20" max="23" width="14.625" style="28" customWidth="1"/>
    <col min="24" max="16384" width="8" style="28"/>
  </cols>
  <sheetData>
    <row r="1" spans="2:15" ht="24" customHeight="1" x14ac:dyDescent="0.2"/>
    <row r="2" spans="2:15" ht="15" x14ac:dyDescent="0.25">
      <c r="B2" s="34"/>
    </row>
    <row r="3" spans="2:15" ht="15" x14ac:dyDescent="0.25">
      <c r="B3" s="34" t="s">
        <v>173</v>
      </c>
    </row>
    <row r="6" spans="2:15" ht="15.75" x14ac:dyDescent="0.25">
      <c r="C6" s="57" t="s">
        <v>131</v>
      </c>
    </row>
    <row r="7" spans="2:15" ht="14.25" x14ac:dyDescent="0.2">
      <c r="J7"/>
      <c r="K7"/>
      <c r="M7" s="28" t="s">
        <v>227</v>
      </c>
    </row>
    <row r="8" spans="2:15" ht="14.25" x14ac:dyDescent="0.2">
      <c r="C8" t="s">
        <v>90</v>
      </c>
      <c r="D8" t="s">
        <v>91</v>
      </c>
      <c r="E8" t="s">
        <v>92</v>
      </c>
      <c r="F8" t="s">
        <v>93</v>
      </c>
      <c r="G8" t="s">
        <v>94</v>
      </c>
    </row>
    <row r="9" spans="2:15" ht="14.25" x14ac:dyDescent="0.2">
      <c r="C9" t="s">
        <v>95</v>
      </c>
      <c r="D9">
        <v>2004</v>
      </c>
      <c r="E9" t="s">
        <v>96</v>
      </c>
      <c r="F9" t="s">
        <v>97</v>
      </c>
      <c r="G9">
        <v>554536</v>
      </c>
      <c r="J9" s="159" t="s">
        <v>226</v>
      </c>
      <c r="K9" s="159" t="s">
        <v>91</v>
      </c>
      <c r="L9"/>
      <c r="M9"/>
      <c r="N9"/>
      <c r="O9"/>
    </row>
    <row r="10" spans="2:15" ht="14.25" x14ac:dyDescent="0.2">
      <c r="C10" t="s">
        <v>95</v>
      </c>
      <c r="D10">
        <v>2004</v>
      </c>
      <c r="E10" t="s">
        <v>98</v>
      </c>
      <c r="F10" t="s">
        <v>97</v>
      </c>
      <c r="G10">
        <v>540643</v>
      </c>
      <c r="J10" s="159" t="s">
        <v>93</v>
      </c>
      <c r="K10">
        <v>2006</v>
      </c>
      <c r="L10"/>
      <c r="M10"/>
      <c r="N10"/>
      <c r="O10"/>
    </row>
    <row r="11" spans="2:15" ht="14.25" x14ac:dyDescent="0.2">
      <c r="C11" t="s">
        <v>95</v>
      </c>
      <c r="D11">
        <v>2004</v>
      </c>
      <c r="E11" t="s">
        <v>99</v>
      </c>
      <c r="F11" t="s">
        <v>97</v>
      </c>
      <c r="G11">
        <v>577548</v>
      </c>
      <c r="J11" t="s">
        <v>97</v>
      </c>
      <c r="K11" s="160">
        <v>13067486</v>
      </c>
      <c r="L11"/>
      <c r="M11"/>
      <c r="N11"/>
      <c r="O11"/>
    </row>
    <row r="12" spans="2:15" ht="14.25" x14ac:dyDescent="0.2">
      <c r="C12" t="s">
        <v>95</v>
      </c>
      <c r="D12">
        <v>2004</v>
      </c>
      <c r="E12" t="s">
        <v>100</v>
      </c>
      <c r="F12" t="s">
        <v>97</v>
      </c>
      <c r="G12">
        <v>455905</v>
      </c>
      <c r="J12" t="s">
        <v>103</v>
      </c>
      <c r="K12" s="160">
        <v>10078961</v>
      </c>
      <c r="L12"/>
      <c r="M12"/>
      <c r="N12"/>
      <c r="O12"/>
    </row>
    <row r="13" spans="2:15" ht="14.25" x14ac:dyDescent="0.2">
      <c r="C13" t="s">
        <v>95</v>
      </c>
      <c r="D13">
        <v>2004</v>
      </c>
      <c r="E13" t="s">
        <v>101</v>
      </c>
      <c r="F13" t="s">
        <v>97</v>
      </c>
      <c r="G13">
        <v>490871</v>
      </c>
      <c r="J13" t="s">
        <v>104</v>
      </c>
      <c r="K13" s="160">
        <v>13816417</v>
      </c>
      <c r="L13"/>
      <c r="M13"/>
      <c r="N13"/>
      <c r="O13"/>
    </row>
    <row r="14" spans="2:15" ht="14.25" x14ac:dyDescent="0.2">
      <c r="C14" t="s">
        <v>95</v>
      </c>
      <c r="D14">
        <v>2004</v>
      </c>
      <c r="E14" t="s">
        <v>102</v>
      </c>
      <c r="F14" t="s">
        <v>97</v>
      </c>
      <c r="G14">
        <v>446383</v>
      </c>
      <c r="J14" t="s">
        <v>195</v>
      </c>
      <c r="K14" s="160">
        <v>36962864</v>
      </c>
      <c r="L14"/>
      <c r="M14"/>
      <c r="N14"/>
      <c r="O14"/>
    </row>
    <row r="15" spans="2:15" ht="14.25" x14ac:dyDescent="0.2">
      <c r="C15" t="s">
        <v>95</v>
      </c>
      <c r="D15">
        <v>2004</v>
      </c>
      <c r="E15" t="s">
        <v>96</v>
      </c>
      <c r="F15" t="s">
        <v>103</v>
      </c>
      <c r="G15">
        <v>457726</v>
      </c>
      <c r="J15"/>
      <c r="K15"/>
      <c r="L15"/>
    </row>
    <row r="16" spans="2:15" ht="14.25" x14ac:dyDescent="0.2">
      <c r="C16" t="s">
        <v>95</v>
      </c>
      <c r="D16">
        <v>2004</v>
      </c>
      <c r="E16" t="s">
        <v>98</v>
      </c>
      <c r="F16" t="s">
        <v>103</v>
      </c>
      <c r="G16">
        <v>347696</v>
      </c>
    </row>
    <row r="17" spans="3:15" ht="14.25" x14ac:dyDescent="0.2">
      <c r="C17" t="s">
        <v>95</v>
      </c>
      <c r="D17">
        <v>2004</v>
      </c>
      <c r="E17" t="s">
        <v>99</v>
      </c>
      <c r="F17" t="s">
        <v>103</v>
      </c>
      <c r="G17">
        <v>384541</v>
      </c>
    </row>
    <row r="18" spans="3:15" ht="14.25" x14ac:dyDescent="0.2">
      <c r="C18" t="s">
        <v>95</v>
      </c>
      <c r="D18">
        <v>2004</v>
      </c>
      <c r="E18" t="s">
        <v>100</v>
      </c>
      <c r="F18" t="s">
        <v>103</v>
      </c>
      <c r="G18">
        <v>386420</v>
      </c>
      <c r="N18"/>
      <c r="O18"/>
    </row>
    <row r="19" spans="3:15" ht="14.25" x14ac:dyDescent="0.2">
      <c r="C19" t="s">
        <v>95</v>
      </c>
      <c r="D19">
        <v>2004</v>
      </c>
      <c r="E19" t="s">
        <v>101</v>
      </c>
      <c r="F19" t="s">
        <v>103</v>
      </c>
      <c r="G19">
        <v>370970</v>
      </c>
      <c r="J19" s="159" t="s">
        <v>91</v>
      </c>
      <c r="K19" s="208">
        <v>2005</v>
      </c>
      <c r="N19"/>
      <c r="O19"/>
    </row>
    <row r="20" spans="3:15" ht="14.25" x14ac:dyDescent="0.2">
      <c r="C20" t="s">
        <v>95</v>
      </c>
      <c r="D20">
        <v>2004</v>
      </c>
      <c r="E20" t="s">
        <v>102</v>
      </c>
      <c r="F20" t="s">
        <v>103</v>
      </c>
      <c r="G20">
        <v>430754</v>
      </c>
      <c r="J20" s="159" t="s">
        <v>90</v>
      </c>
      <c r="K20" t="s">
        <v>95</v>
      </c>
      <c r="O20"/>
    </row>
    <row r="21" spans="3:15" ht="14.25" x14ac:dyDescent="0.2">
      <c r="C21" t="s">
        <v>95</v>
      </c>
      <c r="D21">
        <v>2004</v>
      </c>
      <c r="E21" t="s">
        <v>96</v>
      </c>
      <c r="F21" t="s">
        <v>104</v>
      </c>
      <c r="G21">
        <v>500847</v>
      </c>
      <c r="O21"/>
    </row>
    <row r="22" spans="3:15" ht="14.25" x14ac:dyDescent="0.2">
      <c r="C22" t="s">
        <v>95</v>
      </c>
      <c r="D22">
        <v>2004</v>
      </c>
      <c r="E22" t="s">
        <v>98</v>
      </c>
      <c r="F22" t="s">
        <v>104</v>
      </c>
      <c r="G22">
        <v>507070</v>
      </c>
      <c r="J22" s="159" t="s">
        <v>230</v>
      </c>
      <c r="K22" s="159" t="s">
        <v>93</v>
      </c>
      <c r="L22"/>
      <c r="M22"/>
      <c r="N22"/>
      <c r="O22"/>
    </row>
    <row r="23" spans="3:15" ht="14.25" x14ac:dyDescent="0.2">
      <c r="C23" t="s">
        <v>95</v>
      </c>
      <c r="D23">
        <v>2004</v>
      </c>
      <c r="E23" t="s">
        <v>99</v>
      </c>
      <c r="F23" t="s">
        <v>104</v>
      </c>
      <c r="G23">
        <v>482346</v>
      </c>
      <c r="J23" s="159" t="s">
        <v>92</v>
      </c>
      <c r="K23" t="s">
        <v>97</v>
      </c>
      <c r="L23" t="s">
        <v>103</v>
      </c>
      <c r="M23" t="s">
        <v>104</v>
      </c>
      <c r="N23" t="s">
        <v>195</v>
      </c>
      <c r="O23"/>
    </row>
    <row r="24" spans="3:15" ht="14.25" x14ac:dyDescent="0.2">
      <c r="C24" t="s">
        <v>95</v>
      </c>
      <c r="D24">
        <v>2004</v>
      </c>
      <c r="E24" t="s">
        <v>100</v>
      </c>
      <c r="F24" t="s">
        <v>104</v>
      </c>
      <c r="G24">
        <v>608713</v>
      </c>
      <c r="J24" t="s">
        <v>96</v>
      </c>
      <c r="K24" s="160">
        <v>514649</v>
      </c>
      <c r="L24" s="160">
        <v>393690</v>
      </c>
      <c r="M24" s="160">
        <v>596707</v>
      </c>
      <c r="N24" s="160">
        <v>501682</v>
      </c>
      <c r="O24"/>
    </row>
    <row r="25" spans="3:15" ht="14.25" x14ac:dyDescent="0.2">
      <c r="C25" t="s">
        <v>95</v>
      </c>
      <c r="D25">
        <v>2004</v>
      </c>
      <c r="E25" t="s">
        <v>101</v>
      </c>
      <c r="F25" t="s">
        <v>104</v>
      </c>
      <c r="G25">
        <v>554127</v>
      </c>
      <c r="J25" t="s">
        <v>98</v>
      </c>
      <c r="K25" s="160">
        <v>498673</v>
      </c>
      <c r="L25" s="160">
        <v>427784</v>
      </c>
      <c r="M25" s="160">
        <v>541275</v>
      </c>
      <c r="N25" s="160">
        <v>489244</v>
      </c>
      <c r="O25"/>
    </row>
    <row r="26" spans="3:15" ht="14.25" x14ac:dyDescent="0.2">
      <c r="C26" t="s">
        <v>95</v>
      </c>
      <c r="D26">
        <v>2004</v>
      </c>
      <c r="E26" t="s">
        <v>102</v>
      </c>
      <c r="F26" t="s">
        <v>104</v>
      </c>
      <c r="G26">
        <v>500649</v>
      </c>
      <c r="J26" t="s">
        <v>99</v>
      </c>
      <c r="K26" s="160">
        <v>541930</v>
      </c>
      <c r="L26" s="160">
        <v>386772</v>
      </c>
      <c r="M26" s="160">
        <v>574091</v>
      </c>
      <c r="N26" s="160">
        <v>500931</v>
      </c>
      <c r="O26"/>
    </row>
    <row r="27" spans="3:15" ht="14.25" x14ac:dyDescent="0.2">
      <c r="C27" t="s">
        <v>105</v>
      </c>
      <c r="D27">
        <v>2004</v>
      </c>
      <c r="E27" t="s">
        <v>96</v>
      </c>
      <c r="F27" t="s">
        <v>97</v>
      </c>
      <c r="G27">
        <v>545780</v>
      </c>
      <c r="J27" t="s">
        <v>100</v>
      </c>
      <c r="K27" s="160">
        <v>541022</v>
      </c>
      <c r="L27" s="160">
        <v>430461</v>
      </c>
      <c r="M27" s="160">
        <v>567246</v>
      </c>
      <c r="N27" s="160">
        <v>512909.66666666669</v>
      </c>
      <c r="O27"/>
    </row>
    <row r="28" spans="3:15" ht="14.25" x14ac:dyDescent="0.2">
      <c r="C28" t="s">
        <v>105</v>
      </c>
      <c r="D28">
        <v>2004</v>
      </c>
      <c r="E28" t="s">
        <v>98</v>
      </c>
      <c r="F28" t="s">
        <v>97</v>
      </c>
      <c r="G28">
        <v>440644</v>
      </c>
      <c r="J28" t="s">
        <v>101</v>
      </c>
      <c r="K28" s="160">
        <v>487516</v>
      </c>
      <c r="L28" s="160">
        <v>481311</v>
      </c>
      <c r="M28" s="160">
        <v>530193</v>
      </c>
      <c r="N28" s="160">
        <v>499673.33333333331</v>
      </c>
      <c r="O28"/>
    </row>
    <row r="29" spans="3:15" ht="14.25" x14ac:dyDescent="0.2">
      <c r="C29" t="s">
        <v>105</v>
      </c>
      <c r="D29">
        <v>2004</v>
      </c>
      <c r="E29" t="s">
        <v>99</v>
      </c>
      <c r="F29" t="s">
        <v>97</v>
      </c>
      <c r="G29">
        <v>580359</v>
      </c>
      <c r="J29" t="s">
        <v>102</v>
      </c>
      <c r="K29" s="160">
        <v>558787</v>
      </c>
      <c r="L29" s="160">
        <v>529637</v>
      </c>
      <c r="M29" s="160">
        <v>475884</v>
      </c>
      <c r="N29" s="160">
        <v>521436</v>
      </c>
      <c r="O29"/>
    </row>
    <row r="30" spans="3:15" ht="14.25" x14ac:dyDescent="0.2">
      <c r="C30" t="s">
        <v>105</v>
      </c>
      <c r="D30">
        <v>2004</v>
      </c>
      <c r="E30" t="s">
        <v>100</v>
      </c>
      <c r="F30" t="s">
        <v>97</v>
      </c>
      <c r="G30">
        <v>536225</v>
      </c>
      <c r="J30" t="s">
        <v>195</v>
      </c>
      <c r="K30" s="160">
        <v>523762.83333333331</v>
      </c>
      <c r="L30" s="160">
        <v>441609.16666666669</v>
      </c>
      <c r="M30" s="160">
        <v>547566</v>
      </c>
      <c r="N30" s="160">
        <v>504312.66666666669</v>
      </c>
      <c r="O30"/>
    </row>
    <row r="31" spans="3:15" ht="14.25" x14ac:dyDescent="0.2">
      <c r="C31" t="s">
        <v>105</v>
      </c>
      <c r="D31">
        <v>2004</v>
      </c>
      <c r="E31" t="s">
        <v>101</v>
      </c>
      <c r="F31" t="s">
        <v>97</v>
      </c>
      <c r="G31">
        <v>414908</v>
      </c>
      <c r="O31"/>
    </row>
    <row r="32" spans="3:15" ht="14.25" x14ac:dyDescent="0.2">
      <c r="C32" t="s">
        <v>105</v>
      </c>
      <c r="D32">
        <v>2004</v>
      </c>
      <c r="E32" t="s">
        <v>102</v>
      </c>
      <c r="F32" t="s">
        <v>97</v>
      </c>
      <c r="G32">
        <v>377997</v>
      </c>
      <c r="O32"/>
    </row>
    <row r="33" spans="3:19" ht="14.25" x14ac:dyDescent="0.2">
      <c r="C33" t="s">
        <v>105</v>
      </c>
      <c r="D33">
        <v>2004</v>
      </c>
      <c r="E33" t="s">
        <v>96</v>
      </c>
      <c r="F33" t="s">
        <v>103</v>
      </c>
      <c r="G33">
        <v>331289</v>
      </c>
      <c r="O33"/>
    </row>
    <row r="34" spans="3:19" ht="14.25" x14ac:dyDescent="0.2">
      <c r="C34" t="s">
        <v>105</v>
      </c>
      <c r="D34">
        <v>2004</v>
      </c>
      <c r="E34" t="s">
        <v>98</v>
      </c>
      <c r="F34" t="s">
        <v>103</v>
      </c>
      <c r="G34">
        <v>384572</v>
      </c>
      <c r="O34"/>
    </row>
    <row r="35" spans="3:19" ht="14.25" x14ac:dyDescent="0.2">
      <c r="C35" t="s">
        <v>105</v>
      </c>
      <c r="D35">
        <v>2004</v>
      </c>
      <c r="E35" t="s">
        <v>99</v>
      </c>
      <c r="F35" t="s">
        <v>103</v>
      </c>
      <c r="G35">
        <v>365813</v>
      </c>
      <c r="J35"/>
      <c r="K35"/>
      <c r="L35"/>
      <c r="M35"/>
      <c r="N35"/>
      <c r="O35"/>
    </row>
    <row r="36" spans="3:19" ht="14.25" x14ac:dyDescent="0.2">
      <c r="C36" t="s">
        <v>105</v>
      </c>
      <c r="D36">
        <v>2004</v>
      </c>
      <c r="E36" t="s">
        <v>100</v>
      </c>
      <c r="F36" t="s">
        <v>103</v>
      </c>
      <c r="G36">
        <v>396338</v>
      </c>
      <c r="J36"/>
      <c r="K36"/>
      <c r="L36"/>
      <c r="M36"/>
      <c r="N36"/>
      <c r="O36"/>
    </row>
    <row r="37" spans="3:19" ht="14.25" x14ac:dyDescent="0.2">
      <c r="C37" t="s">
        <v>105</v>
      </c>
      <c r="D37">
        <v>2004</v>
      </c>
      <c r="E37" t="s">
        <v>101</v>
      </c>
      <c r="F37" t="s">
        <v>103</v>
      </c>
      <c r="G37">
        <v>453761</v>
      </c>
      <c r="J37"/>
      <c r="K37"/>
      <c r="L37"/>
      <c r="M37"/>
      <c r="N37"/>
      <c r="O37"/>
    </row>
    <row r="38" spans="3:19" ht="14.25" x14ac:dyDescent="0.2">
      <c r="C38" t="s">
        <v>105</v>
      </c>
      <c r="D38">
        <v>2004</v>
      </c>
      <c r="E38" t="s">
        <v>102</v>
      </c>
      <c r="F38" t="s">
        <v>103</v>
      </c>
      <c r="G38">
        <v>356538</v>
      </c>
    </row>
    <row r="39" spans="3:19" ht="14.25" x14ac:dyDescent="0.2">
      <c r="C39" t="s">
        <v>105</v>
      </c>
      <c r="D39">
        <v>2004</v>
      </c>
      <c r="E39" t="s">
        <v>96</v>
      </c>
      <c r="F39" t="s">
        <v>104</v>
      </c>
      <c r="G39">
        <v>606332</v>
      </c>
      <c r="J39"/>
      <c r="K39"/>
      <c r="L39" s="159" t="s">
        <v>93</v>
      </c>
      <c r="M39" s="159" t="s">
        <v>244</v>
      </c>
      <c r="N39"/>
      <c r="O39"/>
      <c r="P39"/>
      <c r="Q39"/>
    </row>
    <row r="40" spans="3:19" ht="14.25" x14ac:dyDescent="0.2">
      <c r="C40" t="s">
        <v>105</v>
      </c>
      <c r="D40">
        <v>2004</v>
      </c>
      <c r="E40" t="s">
        <v>98</v>
      </c>
      <c r="F40" t="s">
        <v>104</v>
      </c>
      <c r="G40">
        <v>535218</v>
      </c>
      <c r="J40"/>
      <c r="K40"/>
      <c r="L40" t="s">
        <v>97</v>
      </c>
      <c r="M40"/>
      <c r="N40" t="s">
        <v>103</v>
      </c>
      <c r="O40"/>
      <c r="P40" t="s">
        <v>104</v>
      </c>
      <c r="Q40"/>
      <c r="R40"/>
      <c r="S40"/>
    </row>
    <row r="41" spans="3:19" ht="14.25" x14ac:dyDescent="0.2">
      <c r="C41" t="s">
        <v>105</v>
      </c>
      <c r="D41">
        <v>2004</v>
      </c>
      <c r="E41" t="s">
        <v>99</v>
      </c>
      <c r="F41" t="s">
        <v>104</v>
      </c>
      <c r="G41">
        <v>493364</v>
      </c>
      <c r="J41" s="159" t="s">
        <v>91</v>
      </c>
      <c r="K41" s="159" t="s">
        <v>90</v>
      </c>
      <c r="L41" t="s">
        <v>226</v>
      </c>
      <c r="M41" t="s">
        <v>245</v>
      </c>
      <c r="N41" t="s">
        <v>226</v>
      </c>
      <c r="O41" t="s">
        <v>245</v>
      </c>
      <c r="P41" t="s">
        <v>226</v>
      </c>
      <c r="Q41" t="s">
        <v>245</v>
      </c>
      <c r="R41"/>
      <c r="S41"/>
    </row>
    <row r="42" spans="3:19" ht="14.25" x14ac:dyDescent="0.2">
      <c r="C42" t="s">
        <v>105</v>
      </c>
      <c r="D42">
        <v>2004</v>
      </c>
      <c r="E42" t="s">
        <v>100</v>
      </c>
      <c r="F42" t="s">
        <v>104</v>
      </c>
      <c r="G42">
        <v>559100</v>
      </c>
      <c r="J42">
        <v>2005</v>
      </c>
      <c r="K42"/>
      <c r="L42" s="160"/>
      <c r="M42" s="160"/>
      <c r="N42" s="160"/>
      <c r="O42" s="160"/>
      <c r="P42" s="160"/>
      <c r="Q42" s="160"/>
      <c r="R42"/>
      <c r="S42"/>
    </row>
    <row r="43" spans="3:19" ht="14.25" x14ac:dyDescent="0.2">
      <c r="C43" t="s">
        <v>105</v>
      </c>
      <c r="D43">
        <v>2004</v>
      </c>
      <c r="E43" t="s">
        <v>101</v>
      </c>
      <c r="F43" t="s">
        <v>104</v>
      </c>
      <c r="G43">
        <v>520592</v>
      </c>
      <c r="J43"/>
      <c r="K43" t="s">
        <v>95</v>
      </c>
      <c r="L43" s="160">
        <v>3142577</v>
      </c>
      <c r="M43" s="160">
        <v>523762.83333333331</v>
      </c>
      <c r="N43" s="160">
        <v>2649655</v>
      </c>
      <c r="O43" s="160">
        <v>441609.16666666669</v>
      </c>
      <c r="P43" s="160">
        <v>3285396</v>
      </c>
      <c r="Q43" s="160">
        <v>547566</v>
      </c>
      <c r="R43"/>
      <c r="S43"/>
    </row>
    <row r="44" spans="3:19" ht="14.25" x14ac:dyDescent="0.2">
      <c r="C44" t="s">
        <v>105</v>
      </c>
      <c r="D44">
        <v>2004</v>
      </c>
      <c r="E44" t="s">
        <v>102</v>
      </c>
      <c r="F44" t="s">
        <v>104</v>
      </c>
      <c r="G44">
        <v>476975</v>
      </c>
      <c r="J44"/>
      <c r="K44" t="s">
        <v>105</v>
      </c>
      <c r="L44" s="160">
        <v>3227213</v>
      </c>
      <c r="M44" s="160">
        <v>537868.83333333337</v>
      </c>
      <c r="N44" s="160">
        <v>2597514</v>
      </c>
      <c r="O44" s="160">
        <v>432919</v>
      </c>
      <c r="P44" s="160">
        <v>3230928</v>
      </c>
      <c r="Q44" s="160">
        <v>538488</v>
      </c>
      <c r="R44"/>
      <c r="S44"/>
    </row>
    <row r="45" spans="3:19" ht="14.25" x14ac:dyDescent="0.2">
      <c r="C45" t="s">
        <v>106</v>
      </c>
      <c r="D45">
        <v>2004</v>
      </c>
      <c r="E45" t="s">
        <v>96</v>
      </c>
      <c r="F45" t="s">
        <v>97</v>
      </c>
      <c r="G45">
        <v>545621</v>
      </c>
      <c r="J45"/>
      <c r="K45" t="s">
        <v>106</v>
      </c>
      <c r="L45" s="160">
        <v>3360737</v>
      </c>
      <c r="M45" s="160">
        <v>560122.83333333337</v>
      </c>
      <c r="N45" s="160">
        <v>2757169</v>
      </c>
      <c r="O45" s="160">
        <v>459528.16666666669</v>
      </c>
      <c r="P45" s="160">
        <v>3536132</v>
      </c>
      <c r="Q45" s="160">
        <v>589355.33333333337</v>
      </c>
      <c r="R45"/>
      <c r="S45"/>
    </row>
    <row r="46" spans="3:19" ht="14.25" x14ac:dyDescent="0.2">
      <c r="C46" t="s">
        <v>106</v>
      </c>
      <c r="D46">
        <v>2004</v>
      </c>
      <c r="E46" t="s">
        <v>98</v>
      </c>
      <c r="F46" t="s">
        <v>97</v>
      </c>
      <c r="G46">
        <v>489255</v>
      </c>
      <c r="J46"/>
      <c r="K46" t="s">
        <v>107</v>
      </c>
      <c r="L46" s="160">
        <v>2860072</v>
      </c>
      <c r="M46" s="160">
        <v>476678.66666666669</v>
      </c>
      <c r="N46" s="160">
        <v>2398244</v>
      </c>
      <c r="O46" s="160">
        <v>399707.33333333331</v>
      </c>
      <c r="P46" s="160">
        <v>3109297</v>
      </c>
      <c r="Q46" s="160">
        <v>518216.16666666669</v>
      </c>
      <c r="R46"/>
      <c r="S46"/>
    </row>
    <row r="47" spans="3:19" ht="14.25" x14ac:dyDescent="0.2">
      <c r="C47" t="s">
        <v>106</v>
      </c>
      <c r="D47">
        <v>2004</v>
      </c>
      <c r="E47" t="s">
        <v>99</v>
      </c>
      <c r="F47" t="s">
        <v>97</v>
      </c>
      <c r="G47">
        <v>523124</v>
      </c>
      <c r="J47"/>
      <c r="K47"/>
      <c r="L47"/>
      <c r="M47"/>
      <c r="N47"/>
      <c r="O47"/>
      <c r="P47"/>
      <c r="Q47"/>
      <c r="R47"/>
      <c r="S47"/>
    </row>
    <row r="48" spans="3:19" ht="14.25" x14ac:dyDescent="0.2">
      <c r="C48" t="s">
        <v>106</v>
      </c>
      <c r="D48">
        <v>2004</v>
      </c>
      <c r="E48" t="s">
        <v>100</v>
      </c>
      <c r="F48" t="s">
        <v>97</v>
      </c>
      <c r="G48">
        <v>612216</v>
      </c>
      <c r="J48"/>
      <c r="K48"/>
      <c r="L48"/>
      <c r="M48"/>
      <c r="N48"/>
      <c r="O48"/>
      <c r="P48"/>
      <c r="Q48"/>
      <c r="R48"/>
      <c r="S48"/>
    </row>
    <row r="49" spans="3:19" ht="14.25" x14ac:dyDescent="0.2">
      <c r="C49" t="s">
        <v>106</v>
      </c>
      <c r="D49">
        <v>2004</v>
      </c>
      <c r="E49" t="s">
        <v>101</v>
      </c>
      <c r="F49" t="s">
        <v>97</v>
      </c>
      <c r="G49">
        <v>425562</v>
      </c>
      <c r="J49"/>
      <c r="K49"/>
      <c r="L49"/>
      <c r="M49"/>
      <c r="N49"/>
      <c r="O49"/>
      <c r="P49"/>
      <c r="Q49"/>
      <c r="R49"/>
      <c r="S49"/>
    </row>
    <row r="50" spans="3:19" ht="14.25" x14ac:dyDescent="0.2">
      <c r="C50" t="s">
        <v>106</v>
      </c>
      <c r="D50">
        <v>2004</v>
      </c>
      <c r="E50" t="s">
        <v>102</v>
      </c>
      <c r="F50" t="s">
        <v>97</v>
      </c>
      <c r="G50">
        <v>485285</v>
      </c>
      <c r="J50"/>
      <c r="K50"/>
      <c r="L50"/>
      <c r="M50"/>
      <c r="N50"/>
      <c r="O50"/>
      <c r="P50"/>
      <c r="Q50"/>
      <c r="R50"/>
      <c r="S50"/>
    </row>
    <row r="51" spans="3:19" ht="14.25" x14ac:dyDescent="0.2">
      <c r="C51" t="s">
        <v>106</v>
      </c>
      <c r="D51">
        <v>2004</v>
      </c>
      <c r="E51" t="s">
        <v>96</v>
      </c>
      <c r="F51" t="s">
        <v>103</v>
      </c>
      <c r="G51">
        <v>467173</v>
      </c>
      <c r="J51"/>
      <c r="K51"/>
      <c r="L51"/>
      <c r="M51"/>
      <c r="N51"/>
      <c r="O51"/>
      <c r="P51"/>
      <c r="Q51"/>
      <c r="R51"/>
      <c r="S51"/>
    </row>
    <row r="52" spans="3:19" ht="14.25" x14ac:dyDescent="0.2">
      <c r="C52" t="s">
        <v>106</v>
      </c>
      <c r="D52">
        <v>2004</v>
      </c>
      <c r="E52" t="s">
        <v>98</v>
      </c>
      <c r="F52" t="s">
        <v>103</v>
      </c>
      <c r="G52">
        <v>447637</v>
      </c>
      <c r="J52"/>
      <c r="K52"/>
      <c r="L52"/>
      <c r="M52"/>
      <c r="N52"/>
      <c r="O52"/>
      <c r="P52"/>
      <c r="Q52"/>
      <c r="R52"/>
      <c r="S52"/>
    </row>
    <row r="53" spans="3:19" ht="14.25" x14ac:dyDescent="0.2">
      <c r="C53" t="s">
        <v>106</v>
      </c>
      <c r="D53">
        <v>2004</v>
      </c>
      <c r="E53" t="s">
        <v>99</v>
      </c>
      <c r="F53" t="s">
        <v>103</v>
      </c>
      <c r="G53">
        <v>407542</v>
      </c>
      <c r="J53"/>
      <c r="K53"/>
      <c r="L53"/>
      <c r="M53"/>
      <c r="N53"/>
      <c r="O53"/>
      <c r="P53"/>
      <c r="Q53"/>
      <c r="R53"/>
      <c r="S53"/>
    </row>
    <row r="54" spans="3:19" ht="14.25" x14ac:dyDescent="0.2">
      <c r="C54" t="s">
        <v>106</v>
      </c>
      <c r="D54">
        <v>2004</v>
      </c>
      <c r="E54" t="s">
        <v>100</v>
      </c>
      <c r="F54" t="s">
        <v>103</v>
      </c>
      <c r="G54">
        <v>449575</v>
      </c>
      <c r="J54"/>
      <c r="K54"/>
      <c r="L54"/>
      <c r="M54"/>
      <c r="N54"/>
      <c r="O54"/>
      <c r="P54"/>
      <c r="Q54"/>
      <c r="R54"/>
      <c r="S54"/>
    </row>
    <row r="55" spans="3:19" ht="14.25" x14ac:dyDescent="0.2">
      <c r="C55" t="s">
        <v>106</v>
      </c>
      <c r="D55">
        <v>2004</v>
      </c>
      <c r="E55" t="s">
        <v>101</v>
      </c>
      <c r="F55" t="s">
        <v>103</v>
      </c>
      <c r="G55">
        <v>403248</v>
      </c>
      <c r="J55"/>
      <c r="K55"/>
      <c r="L55"/>
      <c r="M55"/>
      <c r="N55"/>
      <c r="O55"/>
      <c r="P55"/>
      <c r="Q55"/>
      <c r="R55"/>
      <c r="S55"/>
    </row>
    <row r="56" spans="3:19" ht="14.25" x14ac:dyDescent="0.2">
      <c r="C56" t="s">
        <v>106</v>
      </c>
      <c r="D56">
        <v>2004</v>
      </c>
      <c r="E56" t="s">
        <v>102</v>
      </c>
      <c r="F56" t="s">
        <v>103</v>
      </c>
      <c r="G56">
        <v>449293</v>
      </c>
      <c r="J56"/>
      <c r="K56"/>
      <c r="L56"/>
      <c r="M56"/>
      <c r="N56"/>
      <c r="O56"/>
      <c r="P56"/>
      <c r="Q56"/>
      <c r="R56"/>
      <c r="S56"/>
    </row>
    <row r="57" spans="3:19" ht="14.25" x14ac:dyDescent="0.2">
      <c r="C57" t="s">
        <v>106</v>
      </c>
      <c r="D57">
        <v>2004</v>
      </c>
      <c r="E57" t="s">
        <v>96</v>
      </c>
      <c r="F57" t="s">
        <v>104</v>
      </c>
      <c r="G57">
        <v>493845</v>
      </c>
      <c r="J57"/>
      <c r="K57"/>
      <c r="L57"/>
      <c r="M57"/>
      <c r="N57"/>
      <c r="O57"/>
      <c r="P57"/>
      <c r="Q57"/>
      <c r="R57"/>
      <c r="S57"/>
    </row>
    <row r="58" spans="3:19" ht="14.25" x14ac:dyDescent="0.2">
      <c r="C58" t="s">
        <v>106</v>
      </c>
      <c r="D58">
        <v>2004</v>
      </c>
      <c r="E58" t="s">
        <v>98</v>
      </c>
      <c r="F58" t="s">
        <v>104</v>
      </c>
      <c r="G58">
        <v>523464</v>
      </c>
      <c r="J58"/>
      <c r="K58"/>
      <c r="L58"/>
      <c r="M58"/>
      <c r="N58"/>
      <c r="O58"/>
      <c r="P58"/>
      <c r="Q58"/>
      <c r="R58"/>
      <c r="S58"/>
    </row>
    <row r="59" spans="3:19" ht="14.25" x14ac:dyDescent="0.2">
      <c r="C59" t="s">
        <v>106</v>
      </c>
      <c r="D59">
        <v>2004</v>
      </c>
      <c r="E59" t="s">
        <v>99</v>
      </c>
      <c r="F59" t="s">
        <v>104</v>
      </c>
      <c r="G59">
        <v>575692</v>
      </c>
    </row>
    <row r="60" spans="3:19" ht="14.25" x14ac:dyDescent="0.2">
      <c r="C60" t="s">
        <v>106</v>
      </c>
      <c r="D60">
        <v>2004</v>
      </c>
      <c r="E60" t="s">
        <v>100</v>
      </c>
      <c r="F60" t="s">
        <v>104</v>
      </c>
      <c r="G60">
        <v>568633</v>
      </c>
    </row>
    <row r="61" spans="3:19" ht="14.25" x14ac:dyDescent="0.2">
      <c r="C61" t="s">
        <v>106</v>
      </c>
      <c r="D61">
        <v>2004</v>
      </c>
      <c r="E61" t="s">
        <v>101</v>
      </c>
      <c r="F61" t="s">
        <v>104</v>
      </c>
      <c r="G61">
        <v>608569</v>
      </c>
      <c r="J61" s="159" t="s">
        <v>90</v>
      </c>
      <c r="K61" t="s">
        <v>107</v>
      </c>
    </row>
    <row r="62" spans="3:19" ht="14.25" x14ac:dyDescent="0.2">
      <c r="C62" t="s">
        <v>106</v>
      </c>
      <c r="D62">
        <v>2004</v>
      </c>
      <c r="E62" t="s">
        <v>102</v>
      </c>
      <c r="F62" t="s">
        <v>104</v>
      </c>
      <c r="G62">
        <v>487012</v>
      </c>
    </row>
    <row r="63" spans="3:19" ht="14.25" x14ac:dyDescent="0.2">
      <c r="C63" t="s">
        <v>107</v>
      </c>
      <c r="D63">
        <v>2004</v>
      </c>
      <c r="E63" t="s">
        <v>96</v>
      </c>
      <c r="F63" t="s">
        <v>97</v>
      </c>
      <c r="G63">
        <v>519177</v>
      </c>
      <c r="J63"/>
      <c r="K63" s="159" t="s">
        <v>225</v>
      </c>
      <c r="L63"/>
      <c r="M63"/>
      <c r="N63"/>
      <c r="O63"/>
      <c r="P63"/>
      <c r="Q63"/>
    </row>
    <row r="64" spans="3:19" ht="14.25" x14ac:dyDescent="0.2">
      <c r="C64" t="s">
        <v>107</v>
      </c>
      <c r="D64">
        <v>2004</v>
      </c>
      <c r="E64" t="s">
        <v>98</v>
      </c>
      <c r="F64" t="s">
        <v>97</v>
      </c>
      <c r="G64">
        <v>488597</v>
      </c>
      <c r="J64"/>
      <c r="K64" t="s">
        <v>100</v>
      </c>
      <c r="L64" t="s">
        <v>101</v>
      </c>
      <c r="M64" t="s">
        <v>102</v>
      </c>
      <c r="N64" t="s">
        <v>195</v>
      </c>
      <c r="O64"/>
      <c r="P64"/>
      <c r="Q64"/>
    </row>
    <row r="65" spans="3:17" ht="14.25" x14ac:dyDescent="0.2">
      <c r="C65" t="s">
        <v>107</v>
      </c>
      <c r="D65">
        <v>2004</v>
      </c>
      <c r="E65" t="s">
        <v>99</v>
      </c>
      <c r="F65" t="s">
        <v>97</v>
      </c>
      <c r="G65">
        <v>456653</v>
      </c>
      <c r="J65" t="s">
        <v>226</v>
      </c>
      <c r="K65" s="160">
        <v>4168249</v>
      </c>
      <c r="L65" s="160">
        <v>3851930</v>
      </c>
      <c r="M65" s="160">
        <v>3881289</v>
      </c>
      <c r="N65" s="160">
        <v>11901468</v>
      </c>
      <c r="O65"/>
      <c r="P65"/>
      <c r="Q65"/>
    </row>
    <row r="66" spans="3:17" ht="14.25" x14ac:dyDescent="0.2">
      <c r="C66" t="s">
        <v>107</v>
      </c>
      <c r="D66">
        <v>2004</v>
      </c>
      <c r="E66" t="s">
        <v>100</v>
      </c>
      <c r="F66" t="s">
        <v>97</v>
      </c>
      <c r="G66">
        <v>528843</v>
      </c>
      <c r="J66"/>
      <c r="K66"/>
      <c r="L66"/>
      <c r="M66"/>
      <c r="N66"/>
    </row>
    <row r="67" spans="3:17" ht="14.25" x14ac:dyDescent="0.2">
      <c r="C67" t="s">
        <v>107</v>
      </c>
      <c r="D67">
        <v>2004</v>
      </c>
      <c r="E67" t="s">
        <v>101</v>
      </c>
      <c r="F67" t="s">
        <v>97</v>
      </c>
      <c r="G67">
        <v>420782</v>
      </c>
      <c r="J67"/>
      <c r="K67"/>
      <c r="L67"/>
      <c r="M67"/>
      <c r="N67"/>
    </row>
    <row r="68" spans="3:17" ht="14.25" x14ac:dyDescent="0.2">
      <c r="C68" t="s">
        <v>107</v>
      </c>
      <c r="D68">
        <v>2004</v>
      </c>
      <c r="E68" t="s">
        <v>102</v>
      </c>
      <c r="F68" t="s">
        <v>97</v>
      </c>
      <c r="G68">
        <v>439751</v>
      </c>
      <c r="J68"/>
      <c r="K68"/>
      <c r="L68"/>
      <c r="M68"/>
      <c r="N68"/>
    </row>
    <row r="69" spans="3:17" ht="14.25" x14ac:dyDescent="0.2">
      <c r="C69" t="s">
        <v>107</v>
      </c>
      <c r="D69">
        <v>2004</v>
      </c>
      <c r="E69" t="s">
        <v>96</v>
      </c>
      <c r="F69" t="s">
        <v>103</v>
      </c>
      <c r="G69">
        <v>348503</v>
      </c>
      <c r="J69"/>
      <c r="K69"/>
      <c r="L69"/>
      <c r="M69"/>
      <c r="N69"/>
    </row>
    <row r="70" spans="3:17" ht="14.25" x14ac:dyDescent="0.2">
      <c r="C70" t="s">
        <v>107</v>
      </c>
      <c r="D70">
        <v>2004</v>
      </c>
      <c r="E70" t="s">
        <v>98</v>
      </c>
      <c r="F70" t="s">
        <v>103</v>
      </c>
      <c r="G70">
        <v>352086</v>
      </c>
      <c r="J70"/>
      <c r="K70"/>
      <c r="L70"/>
      <c r="M70"/>
      <c r="N70"/>
    </row>
    <row r="71" spans="3:17" ht="14.25" x14ac:dyDescent="0.2">
      <c r="C71" t="s">
        <v>107</v>
      </c>
      <c r="D71">
        <v>2004</v>
      </c>
      <c r="E71" t="s">
        <v>99</v>
      </c>
      <c r="F71" t="s">
        <v>103</v>
      </c>
      <c r="G71">
        <v>336824</v>
      </c>
      <c r="J71"/>
      <c r="K71"/>
      <c r="L71"/>
      <c r="M71"/>
      <c r="N71"/>
    </row>
    <row r="72" spans="3:17" ht="14.25" x14ac:dyDescent="0.2">
      <c r="C72" t="s">
        <v>107</v>
      </c>
      <c r="D72">
        <v>2004</v>
      </c>
      <c r="E72" t="s">
        <v>100</v>
      </c>
      <c r="F72" t="s">
        <v>103</v>
      </c>
      <c r="G72">
        <v>350924</v>
      </c>
      <c r="J72"/>
      <c r="K72"/>
      <c r="L72"/>
    </row>
    <row r="73" spans="3:17" ht="14.25" x14ac:dyDescent="0.2">
      <c r="C73" t="s">
        <v>107</v>
      </c>
      <c r="D73">
        <v>2004</v>
      </c>
      <c r="E73" t="s">
        <v>101</v>
      </c>
      <c r="F73" t="s">
        <v>103</v>
      </c>
      <c r="G73">
        <v>338334</v>
      </c>
      <c r="J73"/>
      <c r="K73"/>
      <c r="L73"/>
    </row>
    <row r="74" spans="3:17" ht="14.25" x14ac:dyDescent="0.2">
      <c r="C74" t="s">
        <v>107</v>
      </c>
      <c r="D74">
        <v>2004</v>
      </c>
      <c r="E74" t="s">
        <v>102</v>
      </c>
      <c r="F74" t="s">
        <v>103</v>
      </c>
      <c r="G74">
        <v>383738</v>
      </c>
      <c r="J74"/>
      <c r="K74"/>
      <c r="L74"/>
    </row>
    <row r="75" spans="3:17" ht="14.25" x14ac:dyDescent="0.2">
      <c r="C75" t="s">
        <v>107</v>
      </c>
      <c r="D75">
        <v>2004</v>
      </c>
      <c r="E75" t="s">
        <v>96</v>
      </c>
      <c r="F75" t="s">
        <v>104</v>
      </c>
      <c r="G75">
        <v>508939</v>
      </c>
      <c r="J75"/>
      <c r="K75"/>
      <c r="L75"/>
    </row>
    <row r="76" spans="3:17" ht="14.25" x14ac:dyDescent="0.2">
      <c r="C76" t="s">
        <v>107</v>
      </c>
      <c r="D76">
        <v>2004</v>
      </c>
      <c r="E76" t="s">
        <v>98</v>
      </c>
      <c r="F76" t="s">
        <v>104</v>
      </c>
      <c r="G76">
        <v>393294</v>
      </c>
      <c r="J76" s="208"/>
      <c r="K76" s="210"/>
      <c r="L76"/>
    </row>
    <row r="77" spans="3:17" ht="14.25" x14ac:dyDescent="0.2">
      <c r="C77" t="s">
        <v>107</v>
      </c>
      <c r="D77">
        <v>2004</v>
      </c>
      <c r="E77" t="s">
        <v>99</v>
      </c>
      <c r="F77" t="s">
        <v>104</v>
      </c>
      <c r="G77">
        <v>430380</v>
      </c>
      <c r="J77" s="209"/>
      <c r="K77" s="210"/>
      <c r="L77"/>
    </row>
    <row r="78" spans="3:17" ht="14.25" x14ac:dyDescent="0.2">
      <c r="C78" t="s">
        <v>107</v>
      </c>
      <c r="D78">
        <v>2004</v>
      </c>
      <c r="E78" t="s">
        <v>100</v>
      </c>
      <c r="F78" t="s">
        <v>104</v>
      </c>
      <c r="G78">
        <v>390741</v>
      </c>
      <c r="J78" s="209"/>
      <c r="K78" s="210"/>
      <c r="L78"/>
    </row>
    <row r="79" spans="3:17" ht="14.25" x14ac:dyDescent="0.2">
      <c r="C79" t="s">
        <v>107</v>
      </c>
      <c r="D79">
        <v>2004</v>
      </c>
      <c r="E79" t="s">
        <v>101</v>
      </c>
      <c r="F79" t="s">
        <v>104</v>
      </c>
      <c r="G79">
        <v>500437</v>
      </c>
      <c r="J79" s="209"/>
      <c r="K79" s="210"/>
      <c r="L79"/>
      <c r="M79"/>
    </row>
    <row r="80" spans="3:17" ht="14.25" x14ac:dyDescent="0.2">
      <c r="C80" t="s">
        <v>107</v>
      </c>
      <c r="D80">
        <v>2004</v>
      </c>
      <c r="E80" t="s">
        <v>102</v>
      </c>
      <c r="F80" t="s">
        <v>104</v>
      </c>
      <c r="G80">
        <v>522282</v>
      </c>
      <c r="J80" s="209"/>
      <c r="K80" s="210"/>
      <c r="L80"/>
      <c r="M80"/>
    </row>
    <row r="81" spans="3:13" ht="14.25" x14ac:dyDescent="0.2">
      <c r="C81" t="s">
        <v>95</v>
      </c>
      <c r="D81">
        <v>2005</v>
      </c>
      <c r="E81" t="s">
        <v>96</v>
      </c>
      <c r="F81" t="s">
        <v>97</v>
      </c>
      <c r="G81">
        <v>514649</v>
      </c>
      <c r="H81" s="29"/>
      <c r="I81" s="29"/>
      <c r="J81" s="208"/>
      <c r="K81" s="210"/>
      <c r="L81"/>
      <c r="M81"/>
    </row>
    <row r="82" spans="3:13" ht="14.25" x14ac:dyDescent="0.2">
      <c r="C82" t="s">
        <v>95</v>
      </c>
      <c r="D82">
        <v>2005</v>
      </c>
      <c r="E82" t="s">
        <v>98</v>
      </c>
      <c r="F82" t="s">
        <v>97</v>
      </c>
      <c r="G82">
        <v>498673</v>
      </c>
      <c r="H82" s="29"/>
      <c r="I82" s="29"/>
      <c r="J82" s="209"/>
      <c r="K82" s="210"/>
      <c r="L82"/>
      <c r="M82"/>
    </row>
    <row r="83" spans="3:13" ht="14.25" x14ac:dyDescent="0.2">
      <c r="C83" t="s">
        <v>95</v>
      </c>
      <c r="D83">
        <v>2005</v>
      </c>
      <c r="E83" t="s">
        <v>99</v>
      </c>
      <c r="F83" t="s">
        <v>97</v>
      </c>
      <c r="G83">
        <v>541930</v>
      </c>
      <c r="H83" s="29"/>
      <c r="I83" s="29"/>
      <c r="J83" s="209"/>
      <c r="K83" s="210"/>
      <c r="L83"/>
      <c r="M83"/>
    </row>
    <row r="84" spans="3:13" ht="14.25" x14ac:dyDescent="0.2">
      <c r="C84" t="s">
        <v>95</v>
      </c>
      <c r="D84">
        <v>2005</v>
      </c>
      <c r="E84" t="s">
        <v>100</v>
      </c>
      <c r="F84" t="s">
        <v>97</v>
      </c>
      <c r="G84">
        <v>541022</v>
      </c>
      <c r="H84" s="29"/>
      <c r="I84" s="29"/>
      <c r="J84" s="209"/>
      <c r="K84" s="210"/>
      <c r="L84"/>
      <c r="M84"/>
    </row>
    <row r="85" spans="3:13" ht="14.25" x14ac:dyDescent="0.2">
      <c r="C85" t="s">
        <v>95</v>
      </c>
      <c r="D85">
        <v>2005</v>
      </c>
      <c r="E85" t="s">
        <v>101</v>
      </c>
      <c r="F85" t="s">
        <v>97</v>
      </c>
      <c r="G85">
        <v>487516</v>
      </c>
      <c r="H85" s="29"/>
      <c r="I85" s="29"/>
      <c r="J85" s="209"/>
      <c r="K85" s="210"/>
      <c r="L85"/>
      <c r="M85"/>
    </row>
    <row r="86" spans="3:13" ht="14.25" x14ac:dyDescent="0.2">
      <c r="C86" t="s">
        <v>95</v>
      </c>
      <c r="D86">
        <v>2005</v>
      </c>
      <c r="E86" t="s">
        <v>102</v>
      </c>
      <c r="F86" t="s">
        <v>97</v>
      </c>
      <c r="G86">
        <v>558787</v>
      </c>
      <c r="H86" s="29"/>
      <c r="I86" s="29"/>
      <c r="J86" s="208"/>
      <c r="K86" s="210"/>
      <c r="L86"/>
      <c r="M86"/>
    </row>
    <row r="87" spans="3:13" ht="14.25" x14ac:dyDescent="0.2">
      <c r="C87" t="s">
        <v>95</v>
      </c>
      <c r="D87">
        <v>2005</v>
      </c>
      <c r="E87" t="s">
        <v>96</v>
      </c>
      <c r="F87" t="s">
        <v>103</v>
      </c>
      <c r="G87">
        <v>393690</v>
      </c>
      <c r="H87" s="29"/>
      <c r="I87" s="29"/>
      <c r="J87" s="209"/>
      <c r="K87" s="210"/>
      <c r="L87"/>
      <c r="M87"/>
    </row>
    <row r="88" spans="3:13" ht="14.25" x14ac:dyDescent="0.2">
      <c r="C88" t="s">
        <v>95</v>
      </c>
      <c r="D88">
        <v>2005</v>
      </c>
      <c r="E88" t="s">
        <v>98</v>
      </c>
      <c r="F88" t="s">
        <v>103</v>
      </c>
      <c r="G88">
        <v>427784</v>
      </c>
      <c r="H88" s="29"/>
      <c r="I88" s="29"/>
      <c r="J88" s="209"/>
      <c r="K88" s="210"/>
      <c r="L88"/>
      <c r="M88"/>
    </row>
    <row r="89" spans="3:13" ht="14.25" x14ac:dyDescent="0.2">
      <c r="C89" t="s">
        <v>95</v>
      </c>
      <c r="D89">
        <v>2005</v>
      </c>
      <c r="E89" t="s">
        <v>99</v>
      </c>
      <c r="F89" t="s">
        <v>103</v>
      </c>
      <c r="G89">
        <v>386772</v>
      </c>
      <c r="H89" s="29"/>
      <c r="I89" s="29"/>
      <c r="J89" s="209"/>
      <c r="K89" s="210"/>
      <c r="L89"/>
      <c r="M89"/>
    </row>
    <row r="90" spans="3:13" ht="14.25" x14ac:dyDescent="0.2">
      <c r="C90" t="s">
        <v>95</v>
      </c>
      <c r="D90">
        <v>2005</v>
      </c>
      <c r="E90" t="s">
        <v>100</v>
      </c>
      <c r="F90" t="s">
        <v>103</v>
      </c>
      <c r="G90">
        <v>430461</v>
      </c>
      <c r="H90" s="29"/>
      <c r="I90" s="29"/>
      <c r="J90" s="209"/>
      <c r="K90" s="210"/>
      <c r="L90"/>
      <c r="M90"/>
    </row>
    <row r="91" spans="3:13" ht="14.25" x14ac:dyDescent="0.2">
      <c r="C91" t="s">
        <v>95</v>
      </c>
      <c r="D91">
        <v>2005</v>
      </c>
      <c r="E91" t="s">
        <v>101</v>
      </c>
      <c r="F91" t="s">
        <v>103</v>
      </c>
      <c r="G91">
        <v>481311</v>
      </c>
      <c r="H91" s="29"/>
      <c r="I91" s="29"/>
      <c r="J91" s="208"/>
      <c r="K91" s="210"/>
      <c r="L91"/>
      <c r="M91"/>
    </row>
    <row r="92" spans="3:13" ht="14.25" x14ac:dyDescent="0.2">
      <c r="C92" t="s">
        <v>95</v>
      </c>
      <c r="D92">
        <v>2005</v>
      </c>
      <c r="E92" t="s">
        <v>102</v>
      </c>
      <c r="F92" t="s">
        <v>103</v>
      </c>
      <c r="G92">
        <v>529637</v>
      </c>
      <c r="H92" s="29"/>
      <c r="I92" s="29"/>
      <c r="J92"/>
      <c r="K92"/>
      <c r="L92"/>
      <c r="M92"/>
    </row>
    <row r="93" spans="3:13" ht="14.25" x14ac:dyDescent="0.2">
      <c r="C93" t="s">
        <v>95</v>
      </c>
      <c r="D93">
        <v>2005</v>
      </c>
      <c r="E93" t="s">
        <v>96</v>
      </c>
      <c r="F93" t="s">
        <v>104</v>
      </c>
      <c r="G93">
        <v>596707</v>
      </c>
      <c r="H93" s="29"/>
      <c r="I93" s="29"/>
      <c r="J93"/>
      <c r="K93"/>
      <c r="L93"/>
      <c r="M93"/>
    </row>
    <row r="94" spans="3:13" ht="14.25" x14ac:dyDescent="0.2">
      <c r="C94" t="s">
        <v>95</v>
      </c>
      <c r="D94">
        <v>2005</v>
      </c>
      <c r="E94" t="s">
        <v>98</v>
      </c>
      <c r="F94" t="s">
        <v>104</v>
      </c>
      <c r="G94">
        <v>541275</v>
      </c>
      <c r="H94" s="29"/>
      <c r="I94" s="29"/>
      <c r="J94"/>
      <c r="K94"/>
      <c r="L94"/>
      <c r="M94"/>
    </row>
    <row r="95" spans="3:13" ht="14.25" x14ac:dyDescent="0.2">
      <c r="C95" t="s">
        <v>95</v>
      </c>
      <c r="D95">
        <v>2005</v>
      </c>
      <c r="E95" t="s">
        <v>99</v>
      </c>
      <c r="F95" t="s">
        <v>104</v>
      </c>
      <c r="G95">
        <v>574091</v>
      </c>
      <c r="H95" s="29"/>
      <c r="I95" s="29"/>
      <c r="J95"/>
      <c r="K95"/>
      <c r="L95"/>
      <c r="M95"/>
    </row>
    <row r="96" spans="3:13" ht="14.25" x14ac:dyDescent="0.2">
      <c r="C96" t="s">
        <v>95</v>
      </c>
      <c r="D96">
        <v>2005</v>
      </c>
      <c r="E96" t="s">
        <v>100</v>
      </c>
      <c r="F96" t="s">
        <v>104</v>
      </c>
      <c r="G96">
        <v>567246</v>
      </c>
      <c r="H96" s="29"/>
      <c r="I96" s="29"/>
      <c r="J96"/>
      <c r="K96"/>
      <c r="L96"/>
      <c r="M96"/>
    </row>
    <row r="97" spans="3:12" ht="14.25" x14ac:dyDescent="0.2">
      <c r="C97" t="s">
        <v>95</v>
      </c>
      <c r="D97">
        <v>2005</v>
      </c>
      <c r="E97" t="s">
        <v>101</v>
      </c>
      <c r="F97" t="s">
        <v>104</v>
      </c>
      <c r="G97">
        <v>530193</v>
      </c>
      <c r="H97" s="29"/>
      <c r="I97" s="29"/>
      <c r="J97"/>
      <c r="K97"/>
      <c r="L97"/>
    </row>
    <row r="98" spans="3:12" ht="14.25" x14ac:dyDescent="0.2">
      <c r="C98" t="s">
        <v>95</v>
      </c>
      <c r="D98">
        <v>2005</v>
      </c>
      <c r="E98" t="s">
        <v>102</v>
      </c>
      <c r="F98" t="s">
        <v>104</v>
      </c>
      <c r="G98">
        <v>475884</v>
      </c>
      <c r="H98" s="29"/>
      <c r="I98" s="29"/>
      <c r="J98"/>
      <c r="K98"/>
      <c r="L98"/>
    </row>
    <row r="99" spans="3:12" ht="14.25" x14ac:dyDescent="0.2">
      <c r="C99" t="s">
        <v>105</v>
      </c>
      <c r="D99">
        <v>2005</v>
      </c>
      <c r="E99" t="s">
        <v>96</v>
      </c>
      <c r="F99" t="s">
        <v>97</v>
      </c>
      <c r="G99">
        <v>533691</v>
      </c>
      <c r="H99" s="29"/>
      <c r="I99" s="29"/>
      <c r="J99"/>
    </row>
    <row r="100" spans="3:12" ht="14.25" x14ac:dyDescent="0.2">
      <c r="C100" t="s">
        <v>105</v>
      </c>
      <c r="D100">
        <v>2005</v>
      </c>
      <c r="E100" t="s">
        <v>98</v>
      </c>
      <c r="F100" t="s">
        <v>97</v>
      </c>
      <c r="G100">
        <v>534352</v>
      </c>
      <c r="H100" s="29"/>
      <c r="I100" s="29"/>
      <c r="J100"/>
    </row>
    <row r="101" spans="3:12" ht="14.25" x14ac:dyDescent="0.2">
      <c r="C101" t="s">
        <v>105</v>
      </c>
      <c r="D101">
        <v>2005</v>
      </c>
      <c r="E101" t="s">
        <v>99</v>
      </c>
      <c r="F101" t="s">
        <v>97</v>
      </c>
      <c r="G101">
        <v>588845</v>
      </c>
      <c r="H101" s="29"/>
      <c r="I101" s="29"/>
      <c r="J101"/>
    </row>
    <row r="102" spans="3:12" ht="14.25" x14ac:dyDescent="0.2">
      <c r="C102" t="s">
        <v>105</v>
      </c>
      <c r="D102">
        <v>2005</v>
      </c>
      <c r="E102" t="s">
        <v>100</v>
      </c>
      <c r="F102" t="s">
        <v>97</v>
      </c>
      <c r="G102">
        <v>513750</v>
      </c>
      <c r="H102" s="29"/>
      <c r="I102" s="29"/>
      <c r="J102"/>
    </row>
    <row r="103" spans="3:12" ht="14.25" x14ac:dyDescent="0.2">
      <c r="C103" t="s">
        <v>105</v>
      </c>
      <c r="D103">
        <v>2005</v>
      </c>
      <c r="E103" t="s">
        <v>101</v>
      </c>
      <c r="F103" t="s">
        <v>97</v>
      </c>
      <c r="G103">
        <v>516692</v>
      </c>
      <c r="H103" s="29"/>
      <c r="I103" s="29"/>
      <c r="J103"/>
    </row>
    <row r="104" spans="3:12" ht="14.25" x14ac:dyDescent="0.2">
      <c r="C104" t="s">
        <v>105</v>
      </c>
      <c r="D104">
        <v>2005</v>
      </c>
      <c r="E104" t="s">
        <v>102</v>
      </c>
      <c r="F104" t="s">
        <v>97</v>
      </c>
      <c r="G104">
        <v>539883</v>
      </c>
      <c r="H104" s="29"/>
      <c r="I104" s="29"/>
      <c r="J104"/>
    </row>
    <row r="105" spans="3:12" ht="14.25" x14ac:dyDescent="0.2">
      <c r="C105" t="s">
        <v>105</v>
      </c>
      <c r="D105">
        <v>2005</v>
      </c>
      <c r="E105" t="s">
        <v>96</v>
      </c>
      <c r="F105" t="s">
        <v>103</v>
      </c>
      <c r="G105">
        <v>418483</v>
      </c>
      <c r="H105" s="29"/>
      <c r="I105" s="29"/>
      <c r="J105"/>
    </row>
    <row r="106" spans="3:12" ht="14.25" x14ac:dyDescent="0.2">
      <c r="C106" t="s">
        <v>105</v>
      </c>
      <c r="D106">
        <v>2005</v>
      </c>
      <c r="E106" t="s">
        <v>98</v>
      </c>
      <c r="F106" t="s">
        <v>103</v>
      </c>
      <c r="G106">
        <v>452955</v>
      </c>
      <c r="H106" s="29"/>
      <c r="I106" s="29"/>
      <c r="J106"/>
    </row>
    <row r="107" spans="3:12" ht="14.25" x14ac:dyDescent="0.2">
      <c r="C107" t="s">
        <v>105</v>
      </c>
      <c r="D107">
        <v>2005</v>
      </c>
      <c r="E107" t="s">
        <v>99</v>
      </c>
      <c r="F107" t="s">
        <v>103</v>
      </c>
      <c r="G107">
        <v>432909</v>
      </c>
      <c r="H107" s="29"/>
      <c r="I107" s="29"/>
      <c r="J107"/>
    </row>
    <row r="108" spans="3:12" ht="14.25" x14ac:dyDescent="0.2">
      <c r="C108" t="s">
        <v>105</v>
      </c>
      <c r="D108">
        <v>2005</v>
      </c>
      <c r="E108" t="s">
        <v>100</v>
      </c>
      <c r="F108" t="s">
        <v>103</v>
      </c>
      <c r="G108">
        <v>493853</v>
      </c>
      <c r="H108" s="29"/>
      <c r="I108" s="29"/>
      <c r="J108"/>
    </row>
    <row r="109" spans="3:12" ht="14.25" x14ac:dyDescent="0.2">
      <c r="C109" t="s">
        <v>105</v>
      </c>
      <c r="D109">
        <v>2005</v>
      </c>
      <c r="E109" t="s">
        <v>101</v>
      </c>
      <c r="F109" t="s">
        <v>103</v>
      </c>
      <c r="G109">
        <v>393368</v>
      </c>
      <c r="H109" s="29"/>
      <c r="I109" s="29"/>
      <c r="J109"/>
    </row>
    <row r="110" spans="3:12" ht="14.25" x14ac:dyDescent="0.2">
      <c r="C110" t="s">
        <v>105</v>
      </c>
      <c r="D110">
        <v>2005</v>
      </c>
      <c r="E110" t="s">
        <v>102</v>
      </c>
      <c r="F110" t="s">
        <v>103</v>
      </c>
      <c r="G110">
        <v>405946</v>
      </c>
      <c r="H110" s="29"/>
      <c r="I110" s="29"/>
      <c r="J110"/>
    </row>
    <row r="111" spans="3:12" ht="14.25" x14ac:dyDescent="0.2">
      <c r="C111" t="s">
        <v>105</v>
      </c>
      <c r="D111">
        <v>2005</v>
      </c>
      <c r="E111" t="s">
        <v>96</v>
      </c>
      <c r="F111" t="s">
        <v>104</v>
      </c>
      <c r="G111">
        <v>561874</v>
      </c>
      <c r="H111" s="29"/>
      <c r="I111" s="29"/>
      <c r="J111"/>
    </row>
    <row r="112" spans="3:12" ht="14.25" x14ac:dyDescent="0.2">
      <c r="C112" t="s">
        <v>105</v>
      </c>
      <c r="D112">
        <v>2005</v>
      </c>
      <c r="E112" t="s">
        <v>98</v>
      </c>
      <c r="F112" t="s">
        <v>104</v>
      </c>
      <c r="G112">
        <v>544747</v>
      </c>
      <c r="H112" s="29"/>
      <c r="I112" s="29"/>
      <c r="J112"/>
    </row>
    <row r="113" spans="3:10" ht="14.25" x14ac:dyDescent="0.2">
      <c r="C113" t="s">
        <v>105</v>
      </c>
      <c r="D113">
        <v>2005</v>
      </c>
      <c r="E113" t="s">
        <v>99</v>
      </c>
      <c r="F113" t="s">
        <v>104</v>
      </c>
      <c r="G113">
        <v>470339</v>
      </c>
      <c r="H113" s="29"/>
      <c r="I113" s="29"/>
      <c r="J113"/>
    </row>
    <row r="114" spans="3:10" ht="14.25" x14ac:dyDescent="0.2">
      <c r="C114" t="s">
        <v>105</v>
      </c>
      <c r="D114">
        <v>2005</v>
      </c>
      <c r="E114" t="s">
        <v>100</v>
      </c>
      <c r="F114" t="s">
        <v>104</v>
      </c>
      <c r="G114">
        <v>530410</v>
      </c>
      <c r="H114" s="29"/>
      <c r="I114" s="29"/>
      <c r="J114"/>
    </row>
    <row r="115" spans="3:10" ht="14.25" x14ac:dyDescent="0.2">
      <c r="C115" t="s">
        <v>105</v>
      </c>
      <c r="D115">
        <v>2005</v>
      </c>
      <c r="E115" t="s">
        <v>101</v>
      </c>
      <c r="F115" t="s">
        <v>104</v>
      </c>
      <c r="G115">
        <v>455378</v>
      </c>
      <c r="H115" s="29"/>
      <c r="I115" s="29"/>
      <c r="J115"/>
    </row>
    <row r="116" spans="3:10" ht="14.25" x14ac:dyDescent="0.2">
      <c r="C116" t="s">
        <v>105</v>
      </c>
      <c r="D116">
        <v>2005</v>
      </c>
      <c r="E116" t="s">
        <v>102</v>
      </c>
      <c r="F116" t="s">
        <v>104</v>
      </c>
      <c r="G116">
        <v>668180</v>
      </c>
      <c r="H116" s="29"/>
      <c r="I116" s="29"/>
      <c r="J116"/>
    </row>
    <row r="117" spans="3:10" ht="14.25" x14ac:dyDescent="0.2">
      <c r="C117" t="s">
        <v>106</v>
      </c>
      <c r="D117">
        <v>2005</v>
      </c>
      <c r="E117" t="s">
        <v>96</v>
      </c>
      <c r="F117" t="s">
        <v>97</v>
      </c>
      <c r="G117">
        <v>597626</v>
      </c>
      <c r="H117" s="29"/>
      <c r="I117" s="29"/>
      <c r="J117"/>
    </row>
    <row r="118" spans="3:10" ht="14.25" x14ac:dyDescent="0.2">
      <c r="C118" t="s">
        <v>106</v>
      </c>
      <c r="D118">
        <v>2005</v>
      </c>
      <c r="E118" t="s">
        <v>98</v>
      </c>
      <c r="F118" t="s">
        <v>97</v>
      </c>
      <c r="G118">
        <v>612909</v>
      </c>
      <c r="H118" s="29"/>
      <c r="I118" s="29"/>
      <c r="J118"/>
    </row>
    <row r="119" spans="3:10" ht="14.25" x14ac:dyDescent="0.2">
      <c r="C119" t="s">
        <v>106</v>
      </c>
      <c r="D119">
        <v>2005</v>
      </c>
      <c r="E119" t="s">
        <v>99</v>
      </c>
      <c r="F119" t="s">
        <v>97</v>
      </c>
      <c r="G119">
        <v>585669</v>
      </c>
      <c r="H119" s="29"/>
      <c r="I119" s="29"/>
      <c r="J119"/>
    </row>
    <row r="120" spans="3:10" ht="14.25" x14ac:dyDescent="0.2">
      <c r="C120" t="s">
        <v>106</v>
      </c>
      <c r="D120">
        <v>2005</v>
      </c>
      <c r="E120" t="s">
        <v>100</v>
      </c>
      <c r="F120" t="s">
        <v>97</v>
      </c>
      <c r="G120">
        <v>641282</v>
      </c>
      <c r="H120" s="29"/>
      <c r="I120" s="29"/>
      <c r="J120"/>
    </row>
    <row r="121" spans="3:10" ht="14.25" x14ac:dyDescent="0.2">
      <c r="C121" t="s">
        <v>106</v>
      </c>
      <c r="D121">
        <v>2005</v>
      </c>
      <c r="E121" t="s">
        <v>101</v>
      </c>
      <c r="F121" t="s">
        <v>97</v>
      </c>
      <c r="G121">
        <v>447013</v>
      </c>
      <c r="H121" s="29"/>
      <c r="I121" s="29"/>
      <c r="J121"/>
    </row>
    <row r="122" spans="3:10" ht="14.25" x14ac:dyDescent="0.2">
      <c r="C122" t="s">
        <v>106</v>
      </c>
      <c r="D122">
        <v>2005</v>
      </c>
      <c r="E122" t="s">
        <v>102</v>
      </c>
      <c r="F122" t="s">
        <v>97</v>
      </c>
      <c r="G122">
        <v>476238</v>
      </c>
      <c r="H122" s="29"/>
      <c r="I122" s="29"/>
      <c r="J122"/>
    </row>
    <row r="123" spans="3:10" ht="14.25" x14ac:dyDescent="0.2">
      <c r="C123" t="s">
        <v>106</v>
      </c>
      <c r="D123">
        <v>2005</v>
      </c>
      <c r="E123" t="s">
        <v>96</v>
      </c>
      <c r="F123" t="s">
        <v>103</v>
      </c>
      <c r="G123">
        <v>421466</v>
      </c>
      <c r="H123" s="29"/>
      <c r="I123" s="29"/>
      <c r="J123"/>
    </row>
    <row r="124" spans="3:10" ht="14.25" x14ac:dyDescent="0.2">
      <c r="C124" t="s">
        <v>106</v>
      </c>
      <c r="D124">
        <v>2005</v>
      </c>
      <c r="E124" t="s">
        <v>98</v>
      </c>
      <c r="F124" t="s">
        <v>103</v>
      </c>
      <c r="G124">
        <v>427983</v>
      </c>
      <c r="H124" s="29"/>
      <c r="I124" s="29"/>
      <c r="J124"/>
    </row>
    <row r="125" spans="3:10" ht="14.25" x14ac:dyDescent="0.2">
      <c r="C125" t="s">
        <v>106</v>
      </c>
      <c r="D125">
        <v>2005</v>
      </c>
      <c r="E125" t="s">
        <v>99</v>
      </c>
      <c r="F125" t="s">
        <v>103</v>
      </c>
      <c r="G125">
        <v>429498</v>
      </c>
      <c r="H125" s="29"/>
      <c r="I125" s="29"/>
      <c r="J125"/>
    </row>
    <row r="126" spans="3:10" ht="14.25" x14ac:dyDescent="0.2">
      <c r="C126" t="s">
        <v>106</v>
      </c>
      <c r="D126">
        <v>2005</v>
      </c>
      <c r="E126" t="s">
        <v>100</v>
      </c>
      <c r="F126" t="s">
        <v>103</v>
      </c>
      <c r="G126">
        <v>544597</v>
      </c>
      <c r="H126" s="29"/>
      <c r="I126" s="29"/>
      <c r="J126"/>
    </row>
    <row r="127" spans="3:10" ht="14.25" x14ac:dyDescent="0.2">
      <c r="C127" t="s">
        <v>106</v>
      </c>
      <c r="D127">
        <v>2005</v>
      </c>
      <c r="E127" t="s">
        <v>101</v>
      </c>
      <c r="F127" t="s">
        <v>103</v>
      </c>
      <c r="G127">
        <v>446014</v>
      </c>
      <c r="H127" s="29"/>
      <c r="I127" s="29"/>
      <c r="J127"/>
    </row>
    <row r="128" spans="3:10" ht="14.25" x14ac:dyDescent="0.2">
      <c r="C128" t="s">
        <v>106</v>
      </c>
      <c r="D128">
        <v>2005</v>
      </c>
      <c r="E128" t="s">
        <v>102</v>
      </c>
      <c r="F128" t="s">
        <v>103</v>
      </c>
      <c r="G128">
        <v>487611</v>
      </c>
      <c r="H128" s="29"/>
      <c r="I128" s="29"/>
      <c r="J128"/>
    </row>
    <row r="129" spans="3:10" ht="14.25" x14ac:dyDescent="0.2">
      <c r="C129" t="s">
        <v>106</v>
      </c>
      <c r="D129">
        <v>2005</v>
      </c>
      <c r="E129" t="s">
        <v>96</v>
      </c>
      <c r="F129" t="s">
        <v>104</v>
      </c>
      <c r="G129">
        <v>565106</v>
      </c>
      <c r="H129" s="29"/>
      <c r="I129" s="29"/>
      <c r="J129"/>
    </row>
    <row r="130" spans="3:10" ht="14.25" x14ac:dyDescent="0.2">
      <c r="C130" t="s">
        <v>106</v>
      </c>
      <c r="D130">
        <v>2005</v>
      </c>
      <c r="E130" t="s">
        <v>98</v>
      </c>
      <c r="F130" t="s">
        <v>104</v>
      </c>
      <c r="G130">
        <v>567487</v>
      </c>
      <c r="H130" s="29"/>
      <c r="I130" s="29"/>
      <c r="J130"/>
    </row>
    <row r="131" spans="3:10" ht="14.25" x14ac:dyDescent="0.2">
      <c r="C131" t="s">
        <v>106</v>
      </c>
      <c r="D131">
        <v>2005</v>
      </c>
      <c r="E131" t="s">
        <v>99</v>
      </c>
      <c r="F131" t="s">
        <v>104</v>
      </c>
      <c r="G131">
        <v>538648</v>
      </c>
      <c r="H131" s="29"/>
      <c r="I131" s="29"/>
      <c r="J131"/>
    </row>
    <row r="132" spans="3:10" ht="14.25" x14ac:dyDescent="0.2">
      <c r="C132" t="s">
        <v>106</v>
      </c>
      <c r="D132">
        <v>2005</v>
      </c>
      <c r="E132" t="s">
        <v>100</v>
      </c>
      <c r="F132" t="s">
        <v>104</v>
      </c>
      <c r="G132">
        <v>708608</v>
      </c>
      <c r="H132" s="29"/>
      <c r="I132" s="29"/>
      <c r="J132"/>
    </row>
    <row r="133" spans="3:10" ht="14.25" x14ac:dyDescent="0.2">
      <c r="C133" t="s">
        <v>106</v>
      </c>
      <c r="D133">
        <v>2005</v>
      </c>
      <c r="E133" t="s">
        <v>101</v>
      </c>
      <c r="F133" t="s">
        <v>104</v>
      </c>
      <c r="G133">
        <v>634104</v>
      </c>
      <c r="H133" s="29"/>
      <c r="I133" s="29"/>
      <c r="J133"/>
    </row>
    <row r="134" spans="3:10" ht="14.25" x14ac:dyDescent="0.2">
      <c r="C134" t="s">
        <v>106</v>
      </c>
      <c r="D134">
        <v>2005</v>
      </c>
      <c r="E134" t="s">
        <v>102</v>
      </c>
      <c r="F134" t="s">
        <v>104</v>
      </c>
      <c r="G134">
        <v>522179</v>
      </c>
      <c r="H134" s="29"/>
      <c r="I134" s="29"/>
      <c r="J134"/>
    </row>
    <row r="135" spans="3:10" ht="14.25" x14ac:dyDescent="0.2">
      <c r="C135" t="s">
        <v>107</v>
      </c>
      <c r="D135">
        <v>2005</v>
      </c>
      <c r="E135" t="s">
        <v>96</v>
      </c>
      <c r="F135" t="s">
        <v>97</v>
      </c>
      <c r="G135">
        <v>511406</v>
      </c>
      <c r="H135" s="29"/>
      <c r="I135" s="29"/>
      <c r="J135"/>
    </row>
    <row r="136" spans="3:10" ht="14.25" x14ac:dyDescent="0.2">
      <c r="C136" t="s">
        <v>107</v>
      </c>
      <c r="D136">
        <v>2005</v>
      </c>
      <c r="E136" t="s">
        <v>98</v>
      </c>
      <c r="F136" t="s">
        <v>97</v>
      </c>
      <c r="G136">
        <v>487020</v>
      </c>
      <c r="H136" s="29"/>
      <c r="I136" s="29"/>
      <c r="J136"/>
    </row>
    <row r="137" spans="3:10" ht="14.25" x14ac:dyDescent="0.2">
      <c r="C137" t="s">
        <v>107</v>
      </c>
      <c r="D137">
        <v>2005</v>
      </c>
      <c r="E137" t="s">
        <v>99</v>
      </c>
      <c r="F137" t="s">
        <v>97</v>
      </c>
      <c r="G137">
        <v>563504</v>
      </c>
      <c r="H137" s="29"/>
      <c r="I137" s="29"/>
      <c r="J137"/>
    </row>
    <row r="138" spans="3:10" ht="14.25" x14ac:dyDescent="0.2">
      <c r="C138" t="s">
        <v>107</v>
      </c>
      <c r="D138">
        <v>2005</v>
      </c>
      <c r="E138" t="s">
        <v>100</v>
      </c>
      <c r="F138" t="s">
        <v>97</v>
      </c>
      <c r="G138">
        <v>565428</v>
      </c>
      <c r="H138" s="29"/>
      <c r="I138" s="29"/>
      <c r="J138"/>
    </row>
    <row r="139" spans="3:10" ht="14.25" x14ac:dyDescent="0.2">
      <c r="C139" t="s">
        <v>107</v>
      </c>
      <c r="D139">
        <v>2005</v>
      </c>
      <c r="E139" t="s">
        <v>101</v>
      </c>
      <c r="F139" t="s">
        <v>97</v>
      </c>
      <c r="G139">
        <v>380743</v>
      </c>
      <c r="H139" s="29"/>
      <c r="I139" s="29"/>
      <c r="J139"/>
    </row>
    <row r="140" spans="3:10" ht="14.25" x14ac:dyDescent="0.2">
      <c r="C140" t="s">
        <v>107</v>
      </c>
      <c r="D140">
        <v>2005</v>
      </c>
      <c r="E140" t="s">
        <v>102</v>
      </c>
      <c r="F140" t="s">
        <v>97</v>
      </c>
      <c r="G140">
        <v>351971</v>
      </c>
      <c r="H140" s="29"/>
      <c r="I140" s="29"/>
      <c r="J140"/>
    </row>
    <row r="141" spans="3:10" ht="14.25" x14ac:dyDescent="0.2">
      <c r="C141" t="s">
        <v>107</v>
      </c>
      <c r="D141">
        <v>2005</v>
      </c>
      <c r="E141" t="s">
        <v>96</v>
      </c>
      <c r="F141" t="s">
        <v>103</v>
      </c>
      <c r="G141">
        <v>388646</v>
      </c>
      <c r="H141" s="29"/>
      <c r="I141" s="29"/>
      <c r="J141"/>
    </row>
    <row r="142" spans="3:10" ht="14.25" x14ac:dyDescent="0.2">
      <c r="C142" t="s">
        <v>107</v>
      </c>
      <c r="D142">
        <v>2005</v>
      </c>
      <c r="E142" t="s">
        <v>98</v>
      </c>
      <c r="F142" t="s">
        <v>103</v>
      </c>
      <c r="G142">
        <v>337401</v>
      </c>
      <c r="H142" s="29"/>
      <c r="I142" s="29"/>
      <c r="J142"/>
    </row>
    <row r="143" spans="3:10" ht="14.25" x14ac:dyDescent="0.2">
      <c r="C143" t="s">
        <v>107</v>
      </c>
      <c r="D143">
        <v>2005</v>
      </c>
      <c r="E143" t="s">
        <v>99</v>
      </c>
      <c r="F143" t="s">
        <v>103</v>
      </c>
      <c r="G143">
        <v>441713</v>
      </c>
      <c r="H143" s="29"/>
      <c r="I143" s="29"/>
      <c r="J143"/>
    </row>
    <row r="144" spans="3:10" ht="14.25" x14ac:dyDescent="0.2">
      <c r="C144" t="s">
        <v>107</v>
      </c>
      <c r="D144">
        <v>2005</v>
      </c>
      <c r="E144" t="s">
        <v>100</v>
      </c>
      <c r="F144" t="s">
        <v>103</v>
      </c>
      <c r="G144">
        <v>438764</v>
      </c>
      <c r="H144" s="29"/>
      <c r="I144" s="29"/>
      <c r="J144"/>
    </row>
    <row r="145" spans="3:10" ht="14.25" x14ac:dyDescent="0.2">
      <c r="C145" t="s">
        <v>107</v>
      </c>
      <c r="D145">
        <v>2005</v>
      </c>
      <c r="E145" t="s">
        <v>101</v>
      </c>
      <c r="F145" t="s">
        <v>103</v>
      </c>
      <c r="G145">
        <v>378201</v>
      </c>
      <c r="H145" s="29"/>
      <c r="I145" s="29"/>
      <c r="J145"/>
    </row>
    <row r="146" spans="3:10" ht="14.25" x14ac:dyDescent="0.2">
      <c r="C146" t="s">
        <v>107</v>
      </c>
      <c r="D146">
        <v>2005</v>
      </c>
      <c r="E146" t="s">
        <v>102</v>
      </c>
      <c r="F146" t="s">
        <v>103</v>
      </c>
      <c r="G146">
        <v>413519</v>
      </c>
      <c r="H146" s="29"/>
      <c r="I146" s="29"/>
      <c r="J146"/>
    </row>
    <row r="147" spans="3:10" ht="14.25" x14ac:dyDescent="0.2">
      <c r="C147" t="s">
        <v>107</v>
      </c>
      <c r="D147">
        <v>2005</v>
      </c>
      <c r="E147" t="s">
        <v>96</v>
      </c>
      <c r="F147" t="s">
        <v>104</v>
      </c>
      <c r="G147">
        <v>516512</v>
      </c>
      <c r="H147" s="29"/>
      <c r="I147" s="29"/>
      <c r="J147"/>
    </row>
    <row r="148" spans="3:10" ht="14.25" x14ac:dyDescent="0.2">
      <c r="C148" t="s">
        <v>107</v>
      </c>
      <c r="D148">
        <v>2005</v>
      </c>
      <c r="E148" t="s">
        <v>98</v>
      </c>
      <c r="F148" t="s">
        <v>104</v>
      </c>
      <c r="G148">
        <v>494282</v>
      </c>
      <c r="H148" s="29"/>
      <c r="I148" s="29"/>
      <c r="J148"/>
    </row>
    <row r="149" spans="3:10" ht="14.25" x14ac:dyDescent="0.2">
      <c r="C149" t="s">
        <v>107</v>
      </c>
      <c r="D149">
        <v>2005</v>
      </c>
      <c r="E149" t="s">
        <v>99</v>
      </c>
      <c r="F149" t="s">
        <v>104</v>
      </c>
      <c r="G149">
        <v>538958</v>
      </c>
      <c r="H149" s="29"/>
      <c r="I149" s="29"/>
      <c r="J149"/>
    </row>
    <row r="150" spans="3:10" ht="14.25" x14ac:dyDescent="0.2">
      <c r="C150" t="s">
        <v>107</v>
      </c>
      <c r="D150">
        <v>2005</v>
      </c>
      <c r="E150" t="s">
        <v>100</v>
      </c>
      <c r="F150" t="s">
        <v>104</v>
      </c>
      <c r="G150">
        <v>502214</v>
      </c>
      <c r="H150" s="29"/>
      <c r="I150" s="29"/>
      <c r="J150"/>
    </row>
    <row r="151" spans="3:10" ht="14.25" x14ac:dyDescent="0.2">
      <c r="C151" t="s">
        <v>107</v>
      </c>
      <c r="D151">
        <v>2005</v>
      </c>
      <c r="E151" t="s">
        <v>101</v>
      </c>
      <c r="F151" t="s">
        <v>104</v>
      </c>
      <c r="G151">
        <v>539525</v>
      </c>
      <c r="H151" s="29"/>
      <c r="I151" s="29"/>
      <c r="J151"/>
    </row>
    <row r="152" spans="3:10" ht="14.25" x14ac:dyDescent="0.2">
      <c r="C152" t="s">
        <v>107</v>
      </c>
      <c r="D152">
        <v>2005</v>
      </c>
      <c r="E152" t="s">
        <v>102</v>
      </c>
      <c r="F152" t="s">
        <v>104</v>
      </c>
      <c r="G152">
        <v>517806</v>
      </c>
      <c r="H152" s="29"/>
      <c r="I152" s="29"/>
      <c r="J152"/>
    </row>
    <row r="153" spans="3:10" ht="14.25" x14ac:dyDescent="0.2">
      <c r="C153" t="s">
        <v>95</v>
      </c>
      <c r="D153">
        <v>2006</v>
      </c>
      <c r="E153" t="s">
        <v>96</v>
      </c>
      <c r="F153" t="s">
        <v>97</v>
      </c>
      <c r="G153">
        <v>625097</v>
      </c>
      <c r="H153" s="29"/>
      <c r="I153" s="29"/>
      <c r="J153"/>
    </row>
    <row r="154" spans="3:10" ht="14.25" x14ac:dyDescent="0.2">
      <c r="C154" t="s">
        <v>95</v>
      </c>
      <c r="D154">
        <v>2006</v>
      </c>
      <c r="E154" t="s">
        <v>98</v>
      </c>
      <c r="F154" t="s">
        <v>97</v>
      </c>
      <c r="G154">
        <v>632542</v>
      </c>
      <c r="H154" s="29"/>
      <c r="I154" s="29"/>
      <c r="J154"/>
    </row>
    <row r="155" spans="3:10" ht="14.25" x14ac:dyDescent="0.2">
      <c r="C155" t="s">
        <v>95</v>
      </c>
      <c r="D155">
        <v>2006</v>
      </c>
      <c r="E155" t="s">
        <v>99</v>
      </c>
      <c r="F155" t="s">
        <v>97</v>
      </c>
      <c r="G155">
        <v>565957</v>
      </c>
      <c r="H155" s="29"/>
      <c r="I155" s="29"/>
      <c r="J155"/>
    </row>
    <row r="156" spans="3:10" ht="14.25" x14ac:dyDescent="0.2">
      <c r="C156" t="s">
        <v>95</v>
      </c>
      <c r="D156">
        <v>2006</v>
      </c>
      <c r="E156" t="s">
        <v>100</v>
      </c>
      <c r="F156" t="s">
        <v>97</v>
      </c>
      <c r="G156">
        <v>609354</v>
      </c>
      <c r="H156" s="29"/>
      <c r="I156" s="29"/>
      <c r="J156"/>
    </row>
    <row r="157" spans="3:10" ht="14.25" x14ac:dyDescent="0.2">
      <c r="C157" t="s">
        <v>95</v>
      </c>
      <c r="D157">
        <v>2006</v>
      </c>
      <c r="E157" t="s">
        <v>101</v>
      </c>
      <c r="F157" t="s">
        <v>97</v>
      </c>
      <c r="G157">
        <v>501393</v>
      </c>
      <c r="H157" s="29"/>
      <c r="I157" s="29"/>
      <c r="J157"/>
    </row>
    <row r="158" spans="3:10" ht="14.25" x14ac:dyDescent="0.2">
      <c r="C158" t="s">
        <v>95</v>
      </c>
      <c r="D158">
        <v>2006</v>
      </c>
      <c r="E158" t="s">
        <v>102</v>
      </c>
      <c r="F158" t="s">
        <v>97</v>
      </c>
      <c r="G158">
        <v>461281</v>
      </c>
      <c r="H158" s="29"/>
      <c r="I158" s="29"/>
      <c r="J158"/>
    </row>
    <row r="159" spans="3:10" ht="14.25" x14ac:dyDescent="0.2">
      <c r="C159" t="s">
        <v>95</v>
      </c>
      <c r="D159">
        <v>2006</v>
      </c>
      <c r="E159" t="s">
        <v>96</v>
      </c>
      <c r="F159" t="s">
        <v>103</v>
      </c>
      <c r="G159">
        <v>476654</v>
      </c>
      <c r="H159" s="29"/>
      <c r="I159" s="29"/>
      <c r="J159"/>
    </row>
    <row r="160" spans="3:10" ht="14.25" x14ac:dyDescent="0.2">
      <c r="C160" t="s">
        <v>95</v>
      </c>
      <c r="D160">
        <v>2006</v>
      </c>
      <c r="E160" t="s">
        <v>98</v>
      </c>
      <c r="F160" t="s">
        <v>103</v>
      </c>
      <c r="G160">
        <v>405717</v>
      </c>
      <c r="H160" s="29"/>
      <c r="I160" s="29"/>
      <c r="J160"/>
    </row>
    <row r="161" spans="3:10" ht="14.25" x14ac:dyDescent="0.2">
      <c r="C161" t="s">
        <v>95</v>
      </c>
      <c r="D161">
        <v>2006</v>
      </c>
      <c r="E161" t="s">
        <v>99</v>
      </c>
      <c r="F161" t="s">
        <v>103</v>
      </c>
      <c r="G161">
        <v>407780</v>
      </c>
      <c r="H161" s="29"/>
      <c r="I161" s="29"/>
      <c r="J161"/>
    </row>
    <row r="162" spans="3:10" ht="14.25" x14ac:dyDescent="0.2">
      <c r="C162" t="s">
        <v>95</v>
      </c>
      <c r="D162">
        <v>2006</v>
      </c>
      <c r="E162" t="s">
        <v>100</v>
      </c>
      <c r="F162" t="s">
        <v>103</v>
      </c>
      <c r="G162">
        <v>462903</v>
      </c>
      <c r="H162" s="29"/>
      <c r="I162" s="29"/>
      <c r="J162"/>
    </row>
    <row r="163" spans="3:10" ht="14.25" x14ac:dyDescent="0.2">
      <c r="C163" t="s">
        <v>95</v>
      </c>
      <c r="D163">
        <v>2006</v>
      </c>
      <c r="E163" t="s">
        <v>101</v>
      </c>
      <c r="F163" t="s">
        <v>103</v>
      </c>
      <c r="G163">
        <v>460030</v>
      </c>
      <c r="H163" s="29"/>
      <c r="I163" s="29"/>
      <c r="J163"/>
    </row>
    <row r="164" spans="3:10" ht="14.25" x14ac:dyDescent="0.2">
      <c r="C164" t="s">
        <v>95</v>
      </c>
      <c r="D164">
        <v>2006</v>
      </c>
      <c r="E164" t="s">
        <v>102</v>
      </c>
      <c r="F164" t="s">
        <v>103</v>
      </c>
      <c r="G164">
        <v>463982</v>
      </c>
      <c r="H164" s="29"/>
      <c r="I164" s="29"/>
      <c r="J164"/>
    </row>
    <row r="165" spans="3:10" ht="14.25" x14ac:dyDescent="0.2">
      <c r="C165" t="s">
        <v>95</v>
      </c>
      <c r="D165">
        <v>2006</v>
      </c>
      <c r="E165" t="s">
        <v>96</v>
      </c>
      <c r="F165" t="s">
        <v>104</v>
      </c>
      <c r="G165">
        <v>622573</v>
      </c>
      <c r="H165" s="29"/>
      <c r="I165" s="29"/>
      <c r="J165"/>
    </row>
    <row r="166" spans="3:10" ht="14.25" x14ac:dyDescent="0.2">
      <c r="C166" t="s">
        <v>95</v>
      </c>
      <c r="D166">
        <v>2006</v>
      </c>
      <c r="E166" t="s">
        <v>98</v>
      </c>
      <c r="F166" t="s">
        <v>104</v>
      </c>
      <c r="G166">
        <v>578387</v>
      </c>
      <c r="H166" s="29"/>
      <c r="I166" s="29"/>
      <c r="J166"/>
    </row>
    <row r="167" spans="3:10" ht="14.25" x14ac:dyDescent="0.2">
      <c r="C167" t="s">
        <v>95</v>
      </c>
      <c r="D167">
        <v>2006</v>
      </c>
      <c r="E167" t="s">
        <v>99</v>
      </c>
      <c r="F167" t="s">
        <v>104</v>
      </c>
      <c r="G167">
        <v>579998</v>
      </c>
      <c r="H167" s="29"/>
      <c r="I167" s="29"/>
      <c r="J167"/>
    </row>
    <row r="168" spans="3:10" ht="14.25" x14ac:dyDescent="0.2">
      <c r="C168" t="s">
        <v>95</v>
      </c>
      <c r="D168">
        <v>2006</v>
      </c>
      <c r="E168" t="s">
        <v>100</v>
      </c>
      <c r="F168" t="s">
        <v>104</v>
      </c>
      <c r="G168">
        <v>594253</v>
      </c>
      <c r="H168" s="29"/>
      <c r="I168" s="29"/>
      <c r="J168"/>
    </row>
    <row r="169" spans="3:10" ht="14.25" x14ac:dyDescent="0.2">
      <c r="C169" t="s">
        <v>95</v>
      </c>
      <c r="D169">
        <v>2006</v>
      </c>
      <c r="E169" t="s">
        <v>101</v>
      </c>
      <c r="F169" t="s">
        <v>104</v>
      </c>
      <c r="G169">
        <v>473198</v>
      </c>
      <c r="H169" s="29"/>
      <c r="I169" s="29"/>
      <c r="J169"/>
    </row>
    <row r="170" spans="3:10" ht="14.25" x14ac:dyDescent="0.2">
      <c r="C170" t="s">
        <v>95</v>
      </c>
      <c r="D170">
        <v>2006</v>
      </c>
      <c r="E170" t="s">
        <v>102</v>
      </c>
      <c r="F170" t="s">
        <v>104</v>
      </c>
      <c r="G170">
        <v>601406</v>
      </c>
      <c r="H170" s="29"/>
      <c r="I170" s="29"/>
      <c r="J170"/>
    </row>
    <row r="171" spans="3:10" ht="14.25" x14ac:dyDescent="0.2">
      <c r="C171" t="s">
        <v>105</v>
      </c>
      <c r="D171">
        <v>2006</v>
      </c>
      <c r="E171" t="s">
        <v>96</v>
      </c>
      <c r="F171" t="s">
        <v>97</v>
      </c>
      <c r="G171">
        <v>616561</v>
      </c>
      <c r="H171" s="29"/>
      <c r="I171" s="29"/>
      <c r="J171"/>
    </row>
    <row r="172" spans="3:10" ht="14.25" x14ac:dyDescent="0.2">
      <c r="C172" t="s">
        <v>105</v>
      </c>
      <c r="D172">
        <v>2006</v>
      </c>
      <c r="E172" t="s">
        <v>98</v>
      </c>
      <c r="F172" t="s">
        <v>97</v>
      </c>
      <c r="G172">
        <v>559403</v>
      </c>
      <c r="H172" s="29"/>
      <c r="I172" s="29"/>
      <c r="J172"/>
    </row>
    <row r="173" spans="3:10" ht="14.25" x14ac:dyDescent="0.2">
      <c r="C173" t="s">
        <v>105</v>
      </c>
      <c r="D173">
        <v>2006</v>
      </c>
      <c r="E173" t="s">
        <v>99</v>
      </c>
      <c r="F173" t="s">
        <v>97</v>
      </c>
      <c r="G173">
        <v>597369</v>
      </c>
      <c r="H173" s="29"/>
      <c r="I173" s="29"/>
      <c r="J173"/>
    </row>
    <row r="174" spans="3:10" ht="14.25" x14ac:dyDescent="0.2">
      <c r="C174" t="s">
        <v>105</v>
      </c>
      <c r="D174">
        <v>2006</v>
      </c>
      <c r="E174" t="s">
        <v>100</v>
      </c>
      <c r="F174" t="s">
        <v>97</v>
      </c>
      <c r="G174">
        <v>709122</v>
      </c>
      <c r="H174" s="29"/>
      <c r="I174" s="29"/>
      <c r="J174"/>
    </row>
    <row r="175" spans="3:10" ht="14.25" x14ac:dyDescent="0.2">
      <c r="C175" t="s">
        <v>105</v>
      </c>
      <c r="D175">
        <v>2006</v>
      </c>
      <c r="E175" t="s">
        <v>101</v>
      </c>
      <c r="F175" t="s">
        <v>97</v>
      </c>
      <c r="G175">
        <v>462316</v>
      </c>
      <c r="H175" s="29"/>
      <c r="I175" s="29"/>
      <c r="J175"/>
    </row>
    <row r="176" spans="3:10" ht="14.25" x14ac:dyDescent="0.2">
      <c r="C176" t="s">
        <v>105</v>
      </c>
      <c r="D176">
        <v>2006</v>
      </c>
      <c r="E176" t="s">
        <v>102</v>
      </c>
      <c r="F176" t="s">
        <v>97</v>
      </c>
      <c r="G176">
        <v>466554</v>
      </c>
      <c r="H176" s="29"/>
      <c r="I176" s="29"/>
      <c r="J176"/>
    </row>
    <row r="177" spans="3:10" ht="14.25" x14ac:dyDescent="0.2">
      <c r="C177" t="s">
        <v>105</v>
      </c>
      <c r="D177">
        <v>2006</v>
      </c>
      <c r="E177" t="s">
        <v>96</v>
      </c>
      <c r="F177" t="s">
        <v>103</v>
      </c>
      <c r="G177">
        <v>380338</v>
      </c>
      <c r="H177" s="29"/>
      <c r="I177" s="29"/>
      <c r="J177"/>
    </row>
    <row r="178" spans="3:10" ht="14.25" x14ac:dyDescent="0.2">
      <c r="C178" t="s">
        <v>105</v>
      </c>
      <c r="D178">
        <v>2006</v>
      </c>
      <c r="E178" t="s">
        <v>98</v>
      </c>
      <c r="F178" t="s">
        <v>103</v>
      </c>
      <c r="G178">
        <v>406420</v>
      </c>
      <c r="H178" s="29"/>
      <c r="I178" s="29"/>
      <c r="J178"/>
    </row>
    <row r="179" spans="3:10" ht="14.25" x14ac:dyDescent="0.2">
      <c r="C179" t="s">
        <v>105</v>
      </c>
      <c r="D179">
        <v>2006</v>
      </c>
      <c r="E179" t="s">
        <v>99</v>
      </c>
      <c r="F179" t="s">
        <v>103</v>
      </c>
      <c r="G179">
        <v>422373</v>
      </c>
      <c r="H179" s="29"/>
      <c r="I179" s="29"/>
      <c r="J179"/>
    </row>
    <row r="180" spans="3:10" ht="14.25" x14ac:dyDescent="0.2">
      <c r="C180" t="s">
        <v>105</v>
      </c>
      <c r="D180">
        <v>2006</v>
      </c>
      <c r="E180" t="s">
        <v>100</v>
      </c>
      <c r="F180" t="s">
        <v>103</v>
      </c>
      <c r="G180">
        <v>385923</v>
      </c>
      <c r="H180" s="29"/>
      <c r="I180" s="29"/>
      <c r="J180"/>
    </row>
    <row r="181" spans="3:10" ht="14.25" x14ac:dyDescent="0.2">
      <c r="C181" t="s">
        <v>105</v>
      </c>
      <c r="D181">
        <v>2006</v>
      </c>
      <c r="E181" t="s">
        <v>101</v>
      </c>
      <c r="F181" t="s">
        <v>103</v>
      </c>
      <c r="G181">
        <v>474148</v>
      </c>
      <c r="H181" s="29"/>
      <c r="I181" s="29"/>
      <c r="J181"/>
    </row>
    <row r="182" spans="3:10" ht="14.25" x14ac:dyDescent="0.2">
      <c r="C182" t="s">
        <v>105</v>
      </c>
      <c r="D182">
        <v>2006</v>
      </c>
      <c r="E182" t="s">
        <v>102</v>
      </c>
      <c r="F182" t="s">
        <v>103</v>
      </c>
      <c r="G182">
        <v>438409</v>
      </c>
      <c r="H182" s="29"/>
      <c r="I182" s="29"/>
      <c r="J182"/>
    </row>
    <row r="183" spans="3:10" ht="14.25" x14ac:dyDescent="0.2">
      <c r="C183" t="s">
        <v>105</v>
      </c>
      <c r="D183">
        <v>2006</v>
      </c>
      <c r="E183" t="s">
        <v>96</v>
      </c>
      <c r="F183" t="s">
        <v>104</v>
      </c>
      <c r="G183">
        <v>554317</v>
      </c>
      <c r="H183" s="29"/>
      <c r="I183" s="29"/>
      <c r="J183"/>
    </row>
    <row r="184" spans="3:10" ht="14.25" x14ac:dyDescent="0.2">
      <c r="C184" t="s">
        <v>105</v>
      </c>
      <c r="D184">
        <v>2006</v>
      </c>
      <c r="E184" t="s">
        <v>98</v>
      </c>
      <c r="F184" t="s">
        <v>104</v>
      </c>
      <c r="G184">
        <v>609069</v>
      </c>
      <c r="H184" s="29"/>
      <c r="I184" s="29"/>
      <c r="J184"/>
    </row>
    <row r="185" spans="3:10" ht="14.25" x14ac:dyDescent="0.2">
      <c r="C185" t="s">
        <v>105</v>
      </c>
      <c r="D185">
        <v>2006</v>
      </c>
      <c r="E185" t="s">
        <v>99</v>
      </c>
      <c r="F185" t="s">
        <v>104</v>
      </c>
      <c r="G185">
        <v>563406</v>
      </c>
      <c r="H185" s="29"/>
      <c r="I185" s="29"/>
      <c r="J185"/>
    </row>
    <row r="186" spans="3:10" ht="14.25" x14ac:dyDescent="0.2">
      <c r="C186" t="s">
        <v>105</v>
      </c>
      <c r="D186">
        <v>2006</v>
      </c>
      <c r="E186" t="s">
        <v>100</v>
      </c>
      <c r="F186" t="s">
        <v>104</v>
      </c>
      <c r="G186">
        <v>606490</v>
      </c>
      <c r="H186" s="29"/>
      <c r="I186" s="29"/>
      <c r="J186"/>
    </row>
    <row r="187" spans="3:10" ht="14.25" x14ac:dyDescent="0.2">
      <c r="C187" t="s">
        <v>105</v>
      </c>
      <c r="D187">
        <v>2006</v>
      </c>
      <c r="E187" t="s">
        <v>101</v>
      </c>
      <c r="F187" t="s">
        <v>104</v>
      </c>
      <c r="G187">
        <v>564560</v>
      </c>
      <c r="H187" s="29"/>
      <c r="I187" s="29"/>
      <c r="J187"/>
    </row>
    <row r="188" spans="3:10" ht="14.25" x14ac:dyDescent="0.2">
      <c r="C188" t="s">
        <v>105</v>
      </c>
      <c r="D188">
        <v>2006</v>
      </c>
      <c r="E188" t="s">
        <v>102</v>
      </c>
      <c r="F188" t="s">
        <v>104</v>
      </c>
      <c r="G188">
        <v>600194</v>
      </c>
      <c r="H188" s="29"/>
      <c r="I188" s="29"/>
      <c r="J188"/>
    </row>
    <row r="189" spans="3:10" ht="14.25" x14ac:dyDescent="0.2">
      <c r="C189" t="s">
        <v>106</v>
      </c>
      <c r="D189">
        <v>2006</v>
      </c>
      <c r="E189" t="s">
        <v>96</v>
      </c>
      <c r="F189" t="s">
        <v>97</v>
      </c>
      <c r="G189">
        <v>549802</v>
      </c>
      <c r="H189" s="29"/>
      <c r="I189" s="29"/>
      <c r="J189"/>
    </row>
    <row r="190" spans="3:10" ht="14.25" x14ac:dyDescent="0.2">
      <c r="C190" t="s">
        <v>106</v>
      </c>
      <c r="D190">
        <v>2006</v>
      </c>
      <c r="E190" t="s">
        <v>98</v>
      </c>
      <c r="F190" t="s">
        <v>97</v>
      </c>
      <c r="G190">
        <v>493119</v>
      </c>
      <c r="H190" s="29"/>
      <c r="I190" s="29"/>
      <c r="J190"/>
    </row>
    <row r="191" spans="3:10" ht="14.25" x14ac:dyDescent="0.2">
      <c r="C191" t="s">
        <v>106</v>
      </c>
      <c r="D191">
        <v>2006</v>
      </c>
      <c r="E191" t="s">
        <v>99</v>
      </c>
      <c r="F191" t="s">
        <v>97</v>
      </c>
      <c r="G191">
        <v>576355</v>
      </c>
      <c r="H191" s="29"/>
      <c r="I191" s="29"/>
      <c r="J191"/>
    </row>
    <row r="192" spans="3:10" ht="14.25" x14ac:dyDescent="0.2">
      <c r="C192" t="s">
        <v>106</v>
      </c>
      <c r="D192">
        <v>2006</v>
      </c>
      <c r="E192" t="s">
        <v>100</v>
      </c>
      <c r="F192" t="s">
        <v>97</v>
      </c>
      <c r="G192">
        <v>670233</v>
      </c>
      <c r="H192" s="29"/>
      <c r="I192" s="29"/>
      <c r="J192"/>
    </row>
    <row r="193" spans="3:10" ht="14.25" x14ac:dyDescent="0.2">
      <c r="C193" t="s">
        <v>106</v>
      </c>
      <c r="D193">
        <v>2006</v>
      </c>
      <c r="E193" t="s">
        <v>101</v>
      </c>
      <c r="F193" t="s">
        <v>97</v>
      </c>
      <c r="G193">
        <v>524001</v>
      </c>
      <c r="H193" s="29"/>
      <c r="I193" s="29"/>
      <c r="J193"/>
    </row>
    <row r="194" spans="3:10" ht="14.25" x14ac:dyDescent="0.2">
      <c r="C194" t="s">
        <v>106</v>
      </c>
      <c r="D194">
        <v>2006</v>
      </c>
      <c r="E194" t="s">
        <v>102</v>
      </c>
      <c r="F194" t="s">
        <v>97</v>
      </c>
      <c r="G194">
        <v>527703</v>
      </c>
      <c r="H194" s="29"/>
      <c r="I194" s="29"/>
      <c r="J194"/>
    </row>
    <row r="195" spans="3:10" ht="14.25" x14ac:dyDescent="0.2">
      <c r="C195" t="s">
        <v>106</v>
      </c>
      <c r="D195">
        <v>2006</v>
      </c>
      <c r="E195" t="s">
        <v>96</v>
      </c>
      <c r="F195" t="s">
        <v>103</v>
      </c>
      <c r="G195">
        <v>355197</v>
      </c>
      <c r="H195" s="29"/>
      <c r="I195" s="29"/>
      <c r="J195"/>
    </row>
    <row r="196" spans="3:10" ht="14.25" x14ac:dyDescent="0.2">
      <c r="C196" t="s">
        <v>106</v>
      </c>
      <c r="D196">
        <v>2006</v>
      </c>
      <c r="E196" t="s">
        <v>98</v>
      </c>
      <c r="F196" t="s">
        <v>103</v>
      </c>
      <c r="G196">
        <v>420947</v>
      </c>
      <c r="H196" s="29"/>
      <c r="I196" s="29"/>
      <c r="J196"/>
    </row>
    <row r="197" spans="3:10" ht="14.25" x14ac:dyDescent="0.2">
      <c r="C197" t="s">
        <v>106</v>
      </c>
      <c r="D197">
        <v>2006</v>
      </c>
      <c r="E197" t="s">
        <v>99</v>
      </c>
      <c r="F197" t="s">
        <v>103</v>
      </c>
      <c r="G197">
        <v>423393</v>
      </c>
      <c r="H197" s="29"/>
      <c r="I197" s="29"/>
      <c r="J197"/>
    </row>
    <row r="198" spans="3:10" ht="14.25" x14ac:dyDescent="0.2">
      <c r="C198" t="s">
        <v>106</v>
      </c>
      <c r="D198">
        <v>2006</v>
      </c>
      <c r="E198" t="s">
        <v>100</v>
      </c>
      <c r="F198" t="s">
        <v>103</v>
      </c>
      <c r="G198">
        <v>547726</v>
      </c>
      <c r="H198" s="29"/>
      <c r="I198" s="29"/>
      <c r="J198"/>
    </row>
    <row r="199" spans="3:10" ht="14.25" x14ac:dyDescent="0.2">
      <c r="C199" t="s">
        <v>106</v>
      </c>
      <c r="D199">
        <v>2006</v>
      </c>
      <c r="E199" t="s">
        <v>101</v>
      </c>
      <c r="F199" t="s">
        <v>103</v>
      </c>
      <c r="G199">
        <v>478507</v>
      </c>
      <c r="H199" s="29"/>
      <c r="I199" s="29"/>
      <c r="J199"/>
    </row>
    <row r="200" spans="3:10" ht="14.25" x14ac:dyDescent="0.2">
      <c r="C200" t="s">
        <v>106</v>
      </c>
      <c r="D200">
        <v>2006</v>
      </c>
      <c r="E200" t="s">
        <v>102</v>
      </c>
      <c r="F200" t="s">
        <v>103</v>
      </c>
      <c r="G200">
        <v>425549</v>
      </c>
      <c r="H200" s="29"/>
      <c r="I200" s="29"/>
      <c r="J200"/>
    </row>
    <row r="201" spans="3:10" ht="14.25" x14ac:dyDescent="0.2">
      <c r="C201" t="s">
        <v>106</v>
      </c>
      <c r="D201">
        <v>2006</v>
      </c>
      <c r="E201" t="s">
        <v>96</v>
      </c>
      <c r="F201" t="s">
        <v>104</v>
      </c>
      <c r="G201">
        <v>618631</v>
      </c>
      <c r="H201" s="29"/>
      <c r="I201" s="29"/>
      <c r="J201"/>
    </row>
    <row r="202" spans="3:10" ht="14.25" x14ac:dyDescent="0.2">
      <c r="C202" t="s">
        <v>106</v>
      </c>
      <c r="D202">
        <v>2006</v>
      </c>
      <c r="E202" t="s">
        <v>98</v>
      </c>
      <c r="F202" t="s">
        <v>104</v>
      </c>
      <c r="G202">
        <v>593074</v>
      </c>
      <c r="H202" s="29"/>
      <c r="I202" s="29"/>
      <c r="J202"/>
    </row>
    <row r="203" spans="3:10" ht="14.25" x14ac:dyDescent="0.2">
      <c r="C203" t="s">
        <v>106</v>
      </c>
      <c r="D203">
        <v>2006</v>
      </c>
      <c r="E203" t="s">
        <v>99</v>
      </c>
      <c r="F203" t="s">
        <v>104</v>
      </c>
      <c r="G203">
        <v>708115</v>
      </c>
      <c r="H203" s="29"/>
      <c r="I203" s="29"/>
      <c r="J203"/>
    </row>
    <row r="204" spans="3:10" ht="14.25" x14ac:dyDescent="0.2">
      <c r="C204" t="s">
        <v>106</v>
      </c>
      <c r="D204">
        <v>2006</v>
      </c>
      <c r="E204" t="s">
        <v>100</v>
      </c>
      <c r="F204" t="s">
        <v>104</v>
      </c>
      <c r="G204">
        <v>657230</v>
      </c>
      <c r="H204" s="29"/>
      <c r="I204" s="29"/>
      <c r="J204"/>
    </row>
    <row r="205" spans="3:10" ht="14.25" x14ac:dyDescent="0.2">
      <c r="C205" t="s">
        <v>106</v>
      </c>
      <c r="D205">
        <v>2006</v>
      </c>
      <c r="E205" t="s">
        <v>101</v>
      </c>
      <c r="F205" t="s">
        <v>104</v>
      </c>
      <c r="G205">
        <v>636020</v>
      </c>
      <c r="H205" s="29"/>
      <c r="I205" s="29"/>
      <c r="J205"/>
    </row>
    <row r="206" spans="3:10" ht="14.25" x14ac:dyDescent="0.2">
      <c r="C206" t="s">
        <v>106</v>
      </c>
      <c r="D206">
        <v>2006</v>
      </c>
      <c r="E206" t="s">
        <v>102</v>
      </c>
      <c r="F206" t="s">
        <v>104</v>
      </c>
      <c r="G206">
        <v>648918</v>
      </c>
      <c r="H206" s="29"/>
      <c r="I206" s="29"/>
      <c r="J206"/>
    </row>
    <row r="207" spans="3:10" ht="14.25" x14ac:dyDescent="0.2">
      <c r="C207" t="s">
        <v>107</v>
      </c>
      <c r="D207">
        <v>2006</v>
      </c>
      <c r="E207" t="s">
        <v>96</v>
      </c>
      <c r="F207" t="s">
        <v>97</v>
      </c>
      <c r="G207">
        <v>508848</v>
      </c>
      <c r="J207"/>
    </row>
    <row r="208" spans="3:10" ht="14.25" x14ac:dyDescent="0.2">
      <c r="C208" t="s">
        <v>107</v>
      </c>
      <c r="D208">
        <v>2006</v>
      </c>
      <c r="E208" t="s">
        <v>98</v>
      </c>
      <c r="F208" t="s">
        <v>97</v>
      </c>
      <c r="G208">
        <v>522433</v>
      </c>
      <c r="J208"/>
    </row>
    <row r="209" spans="3:10" ht="14.25" x14ac:dyDescent="0.2">
      <c r="C209" t="s">
        <v>107</v>
      </c>
      <c r="D209">
        <v>2006</v>
      </c>
      <c r="E209" t="s">
        <v>99</v>
      </c>
      <c r="F209" t="s">
        <v>97</v>
      </c>
      <c r="G209">
        <v>526729</v>
      </c>
      <c r="J209"/>
    </row>
    <row r="210" spans="3:10" ht="14.25" x14ac:dyDescent="0.2">
      <c r="C210" t="s">
        <v>107</v>
      </c>
      <c r="D210">
        <v>2006</v>
      </c>
      <c r="E210" t="s">
        <v>100</v>
      </c>
      <c r="F210" t="s">
        <v>97</v>
      </c>
      <c r="G210">
        <v>504010</v>
      </c>
      <c r="J210"/>
    </row>
    <row r="211" spans="3:10" ht="14.25" x14ac:dyDescent="0.2">
      <c r="C211" t="s">
        <v>107</v>
      </c>
      <c r="D211">
        <v>2006</v>
      </c>
      <c r="E211" t="s">
        <v>101</v>
      </c>
      <c r="F211" t="s">
        <v>97</v>
      </c>
      <c r="G211">
        <v>426401</v>
      </c>
      <c r="J211"/>
    </row>
    <row r="212" spans="3:10" ht="14.25" x14ac:dyDescent="0.2">
      <c r="C212" t="s">
        <v>107</v>
      </c>
      <c r="D212">
        <v>2006</v>
      </c>
      <c r="E212" t="s">
        <v>102</v>
      </c>
      <c r="F212" t="s">
        <v>97</v>
      </c>
      <c r="G212">
        <v>430903</v>
      </c>
      <c r="J212"/>
    </row>
    <row r="213" spans="3:10" ht="14.25" x14ac:dyDescent="0.2">
      <c r="C213" t="s">
        <v>107</v>
      </c>
      <c r="D213">
        <v>2006</v>
      </c>
      <c r="E213" t="s">
        <v>96</v>
      </c>
      <c r="F213" t="s">
        <v>103</v>
      </c>
      <c r="G213">
        <v>319614</v>
      </c>
      <c r="J213"/>
    </row>
    <row r="214" spans="3:10" ht="14.25" x14ac:dyDescent="0.2">
      <c r="C214" t="s">
        <v>107</v>
      </c>
      <c r="D214">
        <v>2006</v>
      </c>
      <c r="E214" t="s">
        <v>98</v>
      </c>
      <c r="F214" t="s">
        <v>103</v>
      </c>
      <c r="G214">
        <v>417155</v>
      </c>
      <c r="J214"/>
    </row>
    <row r="215" spans="3:10" ht="14.25" x14ac:dyDescent="0.2">
      <c r="C215" t="s">
        <v>107</v>
      </c>
      <c r="D215">
        <v>2006</v>
      </c>
      <c r="E215" t="s">
        <v>99</v>
      </c>
      <c r="F215" t="s">
        <v>103</v>
      </c>
      <c r="G215">
        <v>395381</v>
      </c>
      <c r="J215"/>
    </row>
    <row r="216" spans="3:10" ht="14.25" x14ac:dyDescent="0.2">
      <c r="C216" t="s">
        <v>107</v>
      </c>
      <c r="D216">
        <v>2006</v>
      </c>
      <c r="E216" t="s">
        <v>100</v>
      </c>
      <c r="F216" t="s">
        <v>103</v>
      </c>
      <c r="G216">
        <v>385921</v>
      </c>
      <c r="J216"/>
    </row>
    <row r="217" spans="3:10" ht="14.25" x14ac:dyDescent="0.2">
      <c r="C217" t="s">
        <v>107</v>
      </c>
      <c r="D217">
        <v>2006</v>
      </c>
      <c r="E217" t="s">
        <v>101</v>
      </c>
      <c r="F217" t="s">
        <v>103</v>
      </c>
      <c r="G217">
        <v>349157</v>
      </c>
      <c r="J217"/>
    </row>
    <row r="218" spans="3:10" ht="14.25" x14ac:dyDescent="0.2">
      <c r="C218" t="s">
        <v>107</v>
      </c>
      <c r="D218">
        <v>2006</v>
      </c>
      <c r="E218" t="s">
        <v>102</v>
      </c>
      <c r="F218" t="s">
        <v>103</v>
      </c>
      <c r="G218">
        <v>375737</v>
      </c>
      <c r="J218"/>
    </row>
    <row r="219" spans="3:10" ht="14.25" x14ac:dyDescent="0.2">
      <c r="C219" t="s">
        <v>107</v>
      </c>
      <c r="D219">
        <v>2006</v>
      </c>
      <c r="E219" t="s">
        <v>96</v>
      </c>
      <c r="F219" t="s">
        <v>104</v>
      </c>
      <c r="G219">
        <v>528322</v>
      </c>
      <c r="J219"/>
    </row>
    <row r="220" spans="3:10" ht="14.25" x14ac:dyDescent="0.2">
      <c r="C220" t="s">
        <v>107</v>
      </c>
      <c r="D220">
        <v>2006</v>
      </c>
      <c r="E220" t="s">
        <v>98</v>
      </c>
      <c r="F220" t="s">
        <v>104</v>
      </c>
      <c r="G220">
        <v>497798</v>
      </c>
      <c r="J220"/>
    </row>
    <row r="221" spans="3:10" ht="14.25" x14ac:dyDescent="0.2">
      <c r="C221" t="s">
        <v>107</v>
      </c>
      <c r="D221">
        <v>2006</v>
      </c>
      <c r="E221" t="s">
        <v>99</v>
      </c>
      <c r="F221" t="s">
        <v>104</v>
      </c>
      <c r="G221">
        <v>515122</v>
      </c>
      <c r="J221"/>
    </row>
    <row r="222" spans="3:10" ht="14.25" x14ac:dyDescent="0.2">
      <c r="C222" t="s">
        <v>107</v>
      </c>
      <c r="D222">
        <v>2006</v>
      </c>
      <c r="E222" t="s">
        <v>100</v>
      </c>
      <c r="F222" t="s">
        <v>104</v>
      </c>
      <c r="G222">
        <v>501404</v>
      </c>
      <c r="J222"/>
    </row>
    <row r="223" spans="3:10" ht="14.25" x14ac:dyDescent="0.2">
      <c r="C223" t="s">
        <v>107</v>
      </c>
      <c r="D223">
        <v>2006</v>
      </c>
      <c r="E223" t="s">
        <v>101</v>
      </c>
      <c r="F223" t="s">
        <v>104</v>
      </c>
      <c r="G223">
        <v>518350</v>
      </c>
      <c r="J223"/>
    </row>
    <row r="224" spans="3:10" ht="14.25" x14ac:dyDescent="0.2">
      <c r="C224" t="s">
        <v>107</v>
      </c>
      <c r="D224">
        <v>2006</v>
      </c>
      <c r="E224" t="s">
        <v>102</v>
      </c>
      <c r="F224" t="s">
        <v>104</v>
      </c>
      <c r="G224">
        <v>445582</v>
      </c>
      <c r="J224"/>
    </row>
    <row r="225" spans="10:10" ht="14.25" x14ac:dyDescent="0.2">
      <c r="J225"/>
    </row>
    <row r="226" spans="10:10" ht="14.25" x14ac:dyDescent="0.2">
      <c r="J226"/>
    </row>
    <row r="227" spans="10:10" ht="14.25" x14ac:dyDescent="0.2">
      <c r="J227"/>
    </row>
    <row r="228" spans="10:10" ht="14.25" x14ac:dyDescent="0.2">
      <c r="J228"/>
    </row>
    <row r="229" spans="10:10" ht="14.25" x14ac:dyDescent="0.2">
      <c r="J229"/>
    </row>
    <row r="230" spans="10:10" ht="14.25" x14ac:dyDescent="0.2">
      <c r="J230"/>
    </row>
    <row r="231" spans="10:10" ht="14.25" x14ac:dyDescent="0.2">
      <c r="J231"/>
    </row>
    <row r="232" spans="10:10" ht="14.25" x14ac:dyDescent="0.2">
      <c r="J232"/>
    </row>
    <row r="233" spans="10:10" ht="14.25" x14ac:dyDescent="0.2">
      <c r="J233"/>
    </row>
    <row r="234" spans="10:10" ht="14.25" x14ac:dyDescent="0.2">
      <c r="J234"/>
    </row>
    <row r="235" spans="10:10" ht="14.25" x14ac:dyDescent="0.2">
      <c r="J235"/>
    </row>
    <row r="236" spans="10:10" ht="14.25" x14ac:dyDescent="0.2">
      <c r="J236"/>
    </row>
    <row r="237" spans="10:10" ht="14.25" x14ac:dyDescent="0.2">
      <c r="J237"/>
    </row>
    <row r="238" spans="10:10" ht="14.25" x14ac:dyDescent="0.2">
      <c r="J238"/>
    </row>
    <row r="239" spans="10:10" ht="14.25" x14ac:dyDescent="0.2">
      <c r="J239"/>
    </row>
    <row r="240" spans="10:10" ht="14.25" x14ac:dyDescent="0.2">
      <c r="J240"/>
    </row>
    <row r="241" spans="10:10" ht="14.25" x14ac:dyDescent="0.2">
      <c r="J241"/>
    </row>
    <row r="242" spans="10:10" ht="14.25" x14ac:dyDescent="0.2">
      <c r="J242"/>
    </row>
    <row r="243" spans="10:10" ht="14.25" x14ac:dyDescent="0.2">
      <c r="J243"/>
    </row>
    <row r="244" spans="10:10" ht="14.25" x14ac:dyDescent="0.2">
      <c r="J244"/>
    </row>
    <row r="245" spans="10:10" ht="14.25" x14ac:dyDescent="0.2">
      <c r="J245"/>
    </row>
    <row r="246" spans="10:10" ht="14.25" x14ac:dyDescent="0.2">
      <c r="J246"/>
    </row>
    <row r="247" spans="10:10" ht="14.25" x14ac:dyDescent="0.2">
      <c r="J247"/>
    </row>
    <row r="248" spans="10:10" ht="14.25" x14ac:dyDescent="0.2">
      <c r="J248"/>
    </row>
    <row r="249" spans="10:10" ht="14.25" x14ac:dyDescent="0.2">
      <c r="J249"/>
    </row>
    <row r="250" spans="10:10" ht="14.25" x14ac:dyDescent="0.2">
      <c r="J250"/>
    </row>
    <row r="251" spans="10:10" ht="14.25" x14ac:dyDescent="0.2">
      <c r="J251"/>
    </row>
    <row r="252" spans="10:10" ht="14.25" x14ac:dyDescent="0.2">
      <c r="J252"/>
    </row>
    <row r="253" spans="10:10" ht="14.25" x14ac:dyDescent="0.2">
      <c r="J253"/>
    </row>
    <row r="254" spans="10:10" ht="14.25" x14ac:dyDescent="0.2">
      <c r="J254"/>
    </row>
    <row r="255" spans="10:10" ht="14.25" x14ac:dyDescent="0.2">
      <c r="J255"/>
    </row>
    <row r="256" spans="10:10" ht="14.25" x14ac:dyDescent="0.2">
      <c r="J256"/>
    </row>
    <row r="257" spans="10:10" ht="14.25" x14ac:dyDescent="0.2">
      <c r="J257"/>
    </row>
    <row r="258" spans="10:10" ht="14.25" x14ac:dyDescent="0.2">
      <c r="J258"/>
    </row>
    <row r="259" spans="10:10" ht="14.25" x14ac:dyDescent="0.2">
      <c r="J259"/>
    </row>
    <row r="260" spans="10:10" ht="14.25" x14ac:dyDescent="0.2">
      <c r="J260"/>
    </row>
    <row r="261" spans="10:10" ht="14.25" x14ac:dyDescent="0.2">
      <c r="J261"/>
    </row>
    <row r="262" spans="10:10" ht="14.25" x14ac:dyDescent="0.2">
      <c r="J262"/>
    </row>
    <row r="263" spans="10:10" ht="14.25" x14ac:dyDescent="0.2">
      <c r="J263"/>
    </row>
    <row r="264" spans="10:10" ht="14.25" x14ac:dyDescent="0.2">
      <c r="J264"/>
    </row>
    <row r="265" spans="10:10" ht="14.25" x14ac:dyDescent="0.2">
      <c r="J265"/>
    </row>
    <row r="266" spans="10:10" ht="14.25" x14ac:dyDescent="0.2">
      <c r="J266"/>
    </row>
    <row r="267" spans="10:10" ht="14.25" x14ac:dyDescent="0.2">
      <c r="J267"/>
    </row>
    <row r="268" spans="10:10" ht="14.25" x14ac:dyDescent="0.2">
      <c r="J268"/>
    </row>
    <row r="269" spans="10:10" ht="14.25" x14ac:dyDescent="0.2">
      <c r="J269"/>
    </row>
    <row r="270" spans="10:10" ht="14.25" x14ac:dyDescent="0.2">
      <c r="J270"/>
    </row>
    <row r="271" spans="10:10" ht="14.25" x14ac:dyDescent="0.2">
      <c r="J271"/>
    </row>
    <row r="272" spans="10:10" ht="14.25" x14ac:dyDescent="0.2">
      <c r="J272"/>
    </row>
    <row r="273" spans="10:10" ht="14.25" x14ac:dyDescent="0.2">
      <c r="J273"/>
    </row>
    <row r="274" spans="10:10" ht="14.25" x14ac:dyDescent="0.2">
      <c r="J274"/>
    </row>
    <row r="275" spans="10:10" ht="14.25" x14ac:dyDescent="0.2">
      <c r="J275"/>
    </row>
    <row r="276" spans="10:10" ht="14.25" x14ac:dyDescent="0.2">
      <c r="J276"/>
    </row>
    <row r="277" spans="10:10" ht="14.25" x14ac:dyDescent="0.2">
      <c r="J277"/>
    </row>
    <row r="278" spans="10:10" ht="14.25" x14ac:dyDescent="0.2">
      <c r="J278"/>
    </row>
    <row r="279" spans="10:10" ht="14.25" x14ac:dyDescent="0.2">
      <c r="J279"/>
    </row>
    <row r="280" spans="10:10" ht="14.25" x14ac:dyDescent="0.2">
      <c r="J280"/>
    </row>
    <row r="281" spans="10:10" ht="14.25" x14ac:dyDescent="0.2">
      <c r="J281"/>
    </row>
    <row r="282" spans="10:10" ht="14.25" x14ac:dyDescent="0.2">
      <c r="J282"/>
    </row>
    <row r="283" spans="10:10" ht="14.25" x14ac:dyDescent="0.2">
      <c r="J283"/>
    </row>
    <row r="284" spans="10:10" ht="14.25" x14ac:dyDescent="0.2">
      <c r="J284"/>
    </row>
    <row r="285" spans="10:10" ht="14.25" x14ac:dyDescent="0.2">
      <c r="J285"/>
    </row>
    <row r="286" spans="10:10" ht="14.25" x14ac:dyDescent="0.2">
      <c r="J286"/>
    </row>
    <row r="287" spans="10:10" ht="14.25" x14ac:dyDescent="0.2">
      <c r="J287"/>
    </row>
    <row r="288" spans="10:10" ht="14.25" x14ac:dyDescent="0.2">
      <c r="J288"/>
    </row>
    <row r="289" spans="10:10" ht="14.25" x14ac:dyDescent="0.2">
      <c r="J289"/>
    </row>
    <row r="290" spans="10:10" ht="14.25" x14ac:dyDescent="0.2">
      <c r="J290"/>
    </row>
    <row r="291" spans="10:10" ht="14.25" x14ac:dyDescent="0.2">
      <c r="J291"/>
    </row>
    <row r="292" spans="10:10" ht="14.25" x14ac:dyDescent="0.2">
      <c r="J292"/>
    </row>
    <row r="293" spans="10:10" ht="14.25" x14ac:dyDescent="0.2">
      <c r="J293"/>
    </row>
    <row r="294" spans="10:10" ht="14.25" x14ac:dyDescent="0.2">
      <c r="J294"/>
    </row>
    <row r="295" spans="10:10" ht="14.25" x14ac:dyDescent="0.2">
      <c r="J295"/>
    </row>
    <row r="296" spans="10:10" ht="14.25" x14ac:dyDescent="0.2">
      <c r="J296"/>
    </row>
    <row r="297" spans="10:10" ht="14.25" x14ac:dyDescent="0.2">
      <c r="J297"/>
    </row>
    <row r="298" spans="10:10" ht="14.25" x14ac:dyDescent="0.2">
      <c r="J298"/>
    </row>
    <row r="299" spans="10:10" ht="14.25" x14ac:dyDescent="0.2">
      <c r="J299"/>
    </row>
    <row r="300" spans="10:10" ht="14.25" x14ac:dyDescent="0.2">
      <c r="J300"/>
    </row>
    <row r="301" spans="10:10" ht="14.25" x14ac:dyDescent="0.2">
      <c r="J301"/>
    </row>
    <row r="302" spans="10:10" ht="14.25" x14ac:dyDescent="0.2">
      <c r="J302"/>
    </row>
    <row r="303" spans="10:10" ht="14.25" x14ac:dyDescent="0.2">
      <c r="J303"/>
    </row>
    <row r="304" spans="10:10" ht="14.25" x14ac:dyDescent="0.2">
      <c r="J304"/>
    </row>
    <row r="305" spans="10:10" ht="14.25" x14ac:dyDescent="0.2">
      <c r="J305"/>
    </row>
    <row r="306" spans="10:10" ht="14.25" x14ac:dyDescent="0.2">
      <c r="J306"/>
    </row>
    <row r="307" spans="10:10" ht="14.25" x14ac:dyDescent="0.2">
      <c r="J307"/>
    </row>
  </sheetData>
  <phoneticPr fontId="8" type="noConversion"/>
  <pageMargins left="0.75" right="0.75" top="1" bottom="1" header="0.5" footer="0.5"/>
  <pageSetup orientation="portrait" r:id="rId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67"/>
  <sheetViews>
    <sheetView topLeftCell="A40" workbookViewId="0">
      <selection activeCell="F40" sqref="F40"/>
    </sheetView>
  </sheetViews>
  <sheetFormatPr defaultColWidth="9" defaultRowHeight="12.75" x14ac:dyDescent="0.2"/>
  <cols>
    <col min="1" max="2" width="9" style="72"/>
    <col min="3" max="3" width="45.625" style="72" customWidth="1"/>
    <col min="4" max="4" width="11.125" style="72" customWidth="1"/>
    <col min="5" max="5" width="11.625" style="72" customWidth="1"/>
    <col min="6" max="6" width="24.5" style="72" customWidth="1"/>
    <col min="7" max="16384" width="9" style="72"/>
  </cols>
  <sheetData>
    <row r="2" spans="2:6" ht="15.75" x14ac:dyDescent="0.25">
      <c r="B2" s="73" t="s">
        <v>218</v>
      </c>
    </row>
    <row r="4" spans="2:6" ht="15.75" x14ac:dyDescent="0.25">
      <c r="B4" s="96" t="s">
        <v>170</v>
      </c>
    </row>
    <row r="6" spans="2:6" ht="26.25" thickBot="1" x14ac:dyDescent="0.25">
      <c r="B6" s="74"/>
      <c r="C6" s="75" t="s">
        <v>135</v>
      </c>
      <c r="D6" s="76" t="s">
        <v>136</v>
      </c>
      <c r="E6" s="76" t="s">
        <v>137</v>
      </c>
      <c r="F6" s="76" t="s">
        <v>138</v>
      </c>
    </row>
    <row r="7" spans="2:6" x14ac:dyDescent="0.2">
      <c r="D7" s="77"/>
      <c r="E7" s="77"/>
      <c r="F7" s="78"/>
    </row>
    <row r="8" spans="2:6" x14ac:dyDescent="0.2">
      <c r="B8" s="78"/>
      <c r="C8" s="79" t="s">
        <v>112</v>
      </c>
      <c r="D8" s="80"/>
      <c r="E8" s="80"/>
      <c r="F8" s="81"/>
    </row>
    <row r="9" spans="2:6" x14ac:dyDescent="0.2">
      <c r="B9" s="78"/>
      <c r="C9" s="78" t="s">
        <v>139</v>
      </c>
      <c r="D9" s="82">
        <v>3</v>
      </c>
      <c r="E9" s="83"/>
      <c r="F9" s="84"/>
    </row>
    <row r="10" spans="2:6" x14ac:dyDescent="0.2">
      <c r="B10" s="78"/>
      <c r="C10" s="78" t="s">
        <v>140</v>
      </c>
      <c r="D10" s="82">
        <v>3</v>
      </c>
      <c r="E10" s="83"/>
      <c r="F10" s="84"/>
    </row>
    <row r="11" spans="2:6" x14ac:dyDescent="0.2">
      <c r="B11" s="78"/>
      <c r="C11" s="78" t="s">
        <v>141</v>
      </c>
      <c r="D11" s="82">
        <v>1</v>
      </c>
      <c r="E11" s="83"/>
      <c r="F11" s="84"/>
    </row>
    <row r="12" spans="2:6" x14ac:dyDescent="0.2">
      <c r="B12" s="78"/>
      <c r="C12" s="85" t="s">
        <v>142</v>
      </c>
      <c r="D12" s="82"/>
      <c r="E12" s="83"/>
      <c r="F12" s="84"/>
    </row>
    <row r="13" spans="2:6" x14ac:dyDescent="0.2">
      <c r="B13" s="78"/>
      <c r="C13" s="85" t="s">
        <v>143</v>
      </c>
      <c r="D13" s="82"/>
      <c r="E13" s="83"/>
      <c r="F13" s="84"/>
    </row>
    <row r="14" spans="2:6" x14ac:dyDescent="0.2">
      <c r="B14" s="78"/>
      <c r="C14" s="78"/>
      <c r="D14" s="82"/>
      <c r="E14" s="83"/>
      <c r="F14" s="84"/>
    </row>
    <row r="15" spans="2:6" x14ac:dyDescent="0.2">
      <c r="B15" s="78"/>
      <c r="C15" s="79" t="s">
        <v>111</v>
      </c>
      <c r="D15" s="82"/>
      <c r="E15" s="83"/>
      <c r="F15" s="84"/>
    </row>
    <row r="16" spans="2:6" x14ac:dyDescent="0.2">
      <c r="B16" s="78"/>
      <c r="C16" s="78" t="s">
        <v>144</v>
      </c>
      <c r="D16" s="82">
        <v>2</v>
      </c>
      <c r="E16" s="83"/>
      <c r="F16" s="84"/>
    </row>
    <row r="17" spans="2:6" x14ac:dyDescent="0.2">
      <c r="B17" s="78"/>
      <c r="C17" s="78" t="s">
        <v>145</v>
      </c>
      <c r="D17" s="82">
        <v>2</v>
      </c>
      <c r="E17" s="83"/>
      <c r="F17" s="84"/>
    </row>
    <row r="18" spans="2:6" x14ac:dyDescent="0.2">
      <c r="B18" s="78"/>
      <c r="C18" s="78"/>
      <c r="D18" s="82"/>
      <c r="E18" s="83"/>
      <c r="F18" s="84"/>
    </row>
    <row r="19" spans="2:6" x14ac:dyDescent="0.2">
      <c r="B19" s="78"/>
      <c r="C19" s="79" t="s">
        <v>113</v>
      </c>
      <c r="D19" s="82"/>
      <c r="E19" s="83"/>
      <c r="F19" s="84"/>
    </row>
    <row r="20" spans="2:6" x14ac:dyDescent="0.2">
      <c r="B20" s="78"/>
      <c r="C20" s="78" t="s">
        <v>146</v>
      </c>
      <c r="D20" s="82">
        <v>0.5</v>
      </c>
      <c r="E20" s="83"/>
      <c r="F20" s="84"/>
    </row>
    <row r="21" spans="2:6" x14ac:dyDescent="0.2">
      <c r="B21" s="78"/>
      <c r="C21" s="78" t="s">
        <v>147</v>
      </c>
      <c r="D21" s="82">
        <v>0.5</v>
      </c>
      <c r="E21" s="83"/>
      <c r="F21" s="84"/>
    </row>
    <row r="22" spans="2:6" x14ac:dyDescent="0.2">
      <c r="B22" s="78"/>
      <c r="C22" s="78"/>
      <c r="D22" s="82"/>
      <c r="E22" s="83"/>
      <c r="F22" s="84"/>
    </row>
    <row r="23" spans="2:6" x14ac:dyDescent="0.2">
      <c r="B23" s="78"/>
      <c r="C23" s="79" t="s">
        <v>148</v>
      </c>
      <c r="D23" s="82"/>
      <c r="E23" s="83"/>
      <c r="F23" s="84"/>
    </row>
    <row r="24" spans="2:6" x14ac:dyDescent="0.2">
      <c r="B24" s="78"/>
      <c r="C24" s="86" t="s">
        <v>149</v>
      </c>
      <c r="D24" s="82"/>
      <c r="E24" s="83"/>
      <c r="F24" s="84"/>
    </row>
    <row r="25" spans="2:6" x14ac:dyDescent="0.2">
      <c r="B25" s="78"/>
      <c r="C25" s="78" t="s">
        <v>150</v>
      </c>
      <c r="D25" s="82">
        <v>2</v>
      </c>
      <c r="E25" s="83"/>
      <c r="F25" s="84"/>
    </row>
    <row r="26" spans="2:6" x14ac:dyDescent="0.2">
      <c r="B26" s="78"/>
      <c r="C26" s="78" t="s">
        <v>151</v>
      </c>
      <c r="D26" s="82">
        <v>2</v>
      </c>
      <c r="E26" s="83"/>
      <c r="F26" s="84"/>
    </row>
    <row r="27" spans="2:6" x14ac:dyDescent="0.2">
      <c r="B27" s="78"/>
      <c r="C27" s="78"/>
      <c r="D27" s="82"/>
      <c r="E27" s="83"/>
      <c r="F27" s="84"/>
    </row>
    <row r="28" spans="2:6" x14ac:dyDescent="0.2">
      <c r="B28" s="78"/>
      <c r="C28" s="79" t="s">
        <v>130</v>
      </c>
      <c r="D28" s="82"/>
      <c r="E28" s="83"/>
      <c r="F28" s="84"/>
    </row>
    <row r="29" spans="2:6" x14ac:dyDescent="0.2">
      <c r="B29" s="78"/>
      <c r="C29" s="78" t="s">
        <v>152</v>
      </c>
      <c r="D29" s="82">
        <v>1</v>
      </c>
      <c r="E29" s="83"/>
      <c r="F29" s="84"/>
    </row>
    <row r="30" spans="2:6" x14ac:dyDescent="0.2">
      <c r="B30" s="78"/>
      <c r="C30" s="78" t="s">
        <v>153</v>
      </c>
      <c r="D30" s="82">
        <v>2</v>
      </c>
      <c r="E30" s="83"/>
      <c r="F30" s="84"/>
    </row>
    <row r="31" spans="2:6" x14ac:dyDescent="0.2">
      <c r="B31" s="78"/>
      <c r="C31" s="78" t="s">
        <v>154</v>
      </c>
      <c r="D31" s="82">
        <v>1</v>
      </c>
      <c r="E31" s="83"/>
      <c r="F31" s="84"/>
    </row>
    <row r="32" spans="2:6" x14ac:dyDescent="0.2">
      <c r="B32" s="78"/>
      <c r="C32" s="78"/>
      <c r="D32" s="82"/>
      <c r="E32" s="83"/>
      <c r="F32" s="84"/>
    </row>
    <row r="33" spans="2:6" x14ac:dyDescent="0.2">
      <c r="B33" s="78"/>
      <c r="C33" s="78"/>
      <c r="D33" s="82"/>
      <c r="E33" s="83"/>
      <c r="F33" s="84"/>
    </row>
    <row r="34" spans="2:6" x14ac:dyDescent="0.2">
      <c r="B34" s="78"/>
      <c r="C34" s="79" t="s">
        <v>205</v>
      </c>
      <c r="D34" s="82">
        <v>1</v>
      </c>
      <c r="E34" s="83"/>
      <c r="F34" s="84"/>
    </row>
    <row r="35" spans="2:6" x14ac:dyDescent="0.2">
      <c r="B35" s="78"/>
      <c r="C35" s="78" t="s">
        <v>212</v>
      </c>
      <c r="D35" s="82">
        <v>1</v>
      </c>
      <c r="E35" s="83"/>
      <c r="F35" s="84"/>
    </row>
    <row r="36" spans="2:6" x14ac:dyDescent="0.2">
      <c r="B36" s="78"/>
      <c r="C36" s="78" t="s">
        <v>208</v>
      </c>
      <c r="D36" s="82"/>
      <c r="E36" s="83"/>
      <c r="F36" s="84"/>
    </row>
    <row r="37" spans="2:6" x14ac:dyDescent="0.2">
      <c r="B37" s="78"/>
      <c r="C37" s="78"/>
      <c r="D37" s="82"/>
      <c r="E37" s="83"/>
      <c r="F37" s="84"/>
    </row>
    <row r="38" spans="2:6" x14ac:dyDescent="0.2">
      <c r="B38" s="78"/>
      <c r="C38" s="78"/>
      <c r="D38" s="82"/>
      <c r="E38" s="83"/>
      <c r="F38" s="84"/>
    </row>
    <row r="39" spans="2:6" x14ac:dyDescent="0.2">
      <c r="B39" s="78"/>
      <c r="C39" s="79" t="s">
        <v>206</v>
      </c>
      <c r="D39" s="82"/>
      <c r="E39" s="83"/>
      <c r="F39" s="84"/>
    </row>
    <row r="40" spans="2:6" x14ac:dyDescent="0.2">
      <c r="B40" s="78"/>
      <c r="C40" s="78" t="s">
        <v>209</v>
      </c>
      <c r="D40" s="82">
        <v>1</v>
      </c>
      <c r="E40" s="83"/>
      <c r="F40" s="84"/>
    </row>
    <row r="41" spans="2:6" x14ac:dyDescent="0.2">
      <c r="B41" s="78"/>
      <c r="C41" s="78" t="s">
        <v>210</v>
      </c>
      <c r="D41" s="82">
        <v>1</v>
      </c>
      <c r="E41" s="83"/>
      <c r="F41" s="84"/>
    </row>
    <row r="42" spans="2:6" x14ac:dyDescent="0.2">
      <c r="B42" s="78"/>
      <c r="C42" s="78" t="s">
        <v>211</v>
      </c>
      <c r="D42" s="82"/>
      <c r="E42" s="83"/>
      <c r="F42" s="84"/>
    </row>
    <row r="43" spans="2:6" x14ac:dyDescent="0.2">
      <c r="B43" s="78"/>
      <c r="C43" s="78"/>
      <c r="D43" s="82"/>
      <c r="E43" s="83"/>
      <c r="F43" s="84"/>
    </row>
    <row r="44" spans="2:6" x14ac:dyDescent="0.2">
      <c r="B44" s="78"/>
      <c r="C44" s="78"/>
      <c r="D44" s="82"/>
      <c r="E44" s="83"/>
      <c r="F44" s="84"/>
    </row>
    <row r="45" spans="2:6" x14ac:dyDescent="0.2">
      <c r="B45" s="78"/>
      <c r="C45" s="79" t="s">
        <v>207</v>
      </c>
      <c r="D45" s="82"/>
      <c r="E45" s="83"/>
      <c r="F45" s="84"/>
    </row>
    <row r="46" spans="2:6" x14ac:dyDescent="0.2">
      <c r="B46" s="78"/>
      <c r="C46" s="78" t="s">
        <v>155</v>
      </c>
      <c r="D46" s="82">
        <v>4</v>
      </c>
      <c r="E46" s="83"/>
      <c r="F46" s="84"/>
    </row>
    <row r="47" spans="2:6" x14ac:dyDescent="0.2">
      <c r="B47" s="78"/>
      <c r="C47" s="78" t="s">
        <v>156</v>
      </c>
      <c r="D47" s="82"/>
      <c r="E47" s="83"/>
      <c r="F47" s="84"/>
    </row>
    <row r="48" spans="2:6" x14ac:dyDescent="0.2">
      <c r="B48" s="78"/>
      <c r="C48" s="78" t="s">
        <v>157</v>
      </c>
      <c r="D48" s="82"/>
      <c r="E48" s="83"/>
      <c r="F48" s="84"/>
    </row>
    <row r="49" spans="2:6" x14ac:dyDescent="0.2">
      <c r="B49" s="78"/>
      <c r="C49" s="78"/>
      <c r="D49" s="82"/>
      <c r="E49" s="83"/>
      <c r="F49" s="84"/>
    </row>
    <row r="50" spans="2:6" x14ac:dyDescent="0.2">
      <c r="B50" s="78"/>
      <c r="C50" s="78" t="s">
        <v>158</v>
      </c>
      <c r="D50" s="82">
        <v>4</v>
      </c>
      <c r="E50" s="83"/>
      <c r="F50" s="84"/>
    </row>
    <row r="51" spans="2:6" x14ac:dyDescent="0.2">
      <c r="B51" s="78"/>
      <c r="C51" s="78" t="s">
        <v>159</v>
      </c>
      <c r="D51" s="82"/>
      <c r="E51" s="83"/>
      <c r="F51" s="84"/>
    </row>
    <row r="52" spans="2:6" x14ac:dyDescent="0.2">
      <c r="B52" s="78"/>
      <c r="C52" s="87" t="s">
        <v>160</v>
      </c>
      <c r="D52" s="82"/>
      <c r="E52" s="83"/>
      <c r="F52" s="84"/>
    </row>
    <row r="53" spans="2:6" x14ac:dyDescent="0.2">
      <c r="B53" s="78"/>
      <c r="C53" s="78"/>
      <c r="D53" s="82"/>
      <c r="E53" s="83"/>
      <c r="F53" s="84"/>
    </row>
    <row r="54" spans="2:6" x14ac:dyDescent="0.2">
      <c r="B54" s="78"/>
      <c r="C54" s="87" t="s">
        <v>161</v>
      </c>
      <c r="D54" s="82">
        <v>4</v>
      </c>
      <c r="E54" s="83"/>
      <c r="F54" s="84"/>
    </row>
    <row r="55" spans="2:6" x14ac:dyDescent="0.2">
      <c r="B55" s="78"/>
      <c r="C55" s="87" t="s">
        <v>162</v>
      </c>
      <c r="D55" s="82"/>
      <c r="E55" s="83"/>
      <c r="F55" s="84"/>
    </row>
    <row r="56" spans="2:6" x14ac:dyDescent="0.2">
      <c r="B56" s="78"/>
      <c r="C56" s="78" t="s">
        <v>163</v>
      </c>
      <c r="D56" s="82"/>
      <c r="E56" s="83"/>
      <c r="F56" s="84"/>
    </row>
    <row r="57" spans="2:6" x14ac:dyDescent="0.2">
      <c r="B57" s="78"/>
      <c r="C57" s="87" t="s">
        <v>164</v>
      </c>
      <c r="D57" s="82"/>
      <c r="E57" s="83"/>
      <c r="F57" s="84"/>
    </row>
    <row r="58" spans="2:6" x14ac:dyDescent="0.2">
      <c r="B58" s="78"/>
      <c r="C58" s="78"/>
      <c r="D58" s="82"/>
      <c r="E58" s="83"/>
      <c r="F58" s="84"/>
    </row>
    <row r="59" spans="2:6" x14ac:dyDescent="0.2">
      <c r="B59" s="78"/>
      <c r="C59" s="78" t="s">
        <v>165</v>
      </c>
      <c r="D59" s="82">
        <v>4</v>
      </c>
      <c r="E59" s="83"/>
      <c r="F59" s="84"/>
    </row>
    <row r="60" spans="2:6" x14ac:dyDescent="0.2">
      <c r="B60" s="78"/>
      <c r="C60" s="78" t="s">
        <v>166</v>
      </c>
      <c r="D60" s="82"/>
      <c r="E60" s="83"/>
      <c r="F60" s="84"/>
    </row>
    <row r="61" spans="2:6" x14ac:dyDescent="0.2">
      <c r="B61" s="78"/>
      <c r="C61" s="78" t="s">
        <v>167</v>
      </c>
      <c r="D61" s="82"/>
      <c r="E61" s="83"/>
      <c r="F61" s="84"/>
    </row>
    <row r="62" spans="2:6" x14ac:dyDescent="0.2">
      <c r="B62" s="78"/>
      <c r="C62" s="78" t="s">
        <v>168</v>
      </c>
      <c r="D62" s="82"/>
      <c r="E62" s="83"/>
      <c r="F62" s="84"/>
    </row>
    <row r="63" spans="2:6" x14ac:dyDescent="0.2">
      <c r="C63" s="88"/>
      <c r="D63" s="89"/>
      <c r="E63" s="90"/>
      <c r="F63" s="91"/>
    </row>
    <row r="64" spans="2:6" ht="13.5" thickBot="1" x14ac:dyDescent="0.25">
      <c r="B64" s="74"/>
      <c r="C64" s="74"/>
      <c r="D64" s="92"/>
      <c r="E64" s="92"/>
      <c r="F64" s="74"/>
    </row>
    <row r="65" spans="3:6" ht="21" customHeight="1" thickBot="1" x14ac:dyDescent="0.3">
      <c r="C65" s="93" t="s">
        <v>169</v>
      </c>
      <c r="D65" s="142">
        <f>SUM(D8:D60)</f>
        <v>40</v>
      </c>
      <c r="E65" s="143">
        <f>SUM(E8:E60)</f>
        <v>0</v>
      </c>
    </row>
    <row r="66" spans="3:6" ht="19.5" customHeight="1" thickBot="1" x14ac:dyDescent="0.3">
      <c r="C66" s="144" t="s">
        <v>219</v>
      </c>
      <c r="E66" s="145"/>
      <c r="F66" s="146" t="s">
        <v>220</v>
      </c>
    </row>
    <row r="67" spans="3:6" ht="21" customHeight="1" thickBot="1" x14ac:dyDescent="0.3">
      <c r="C67" s="95" t="s">
        <v>221</v>
      </c>
      <c r="D67" s="94"/>
      <c r="E67" s="142">
        <f>D65-(E65+E66)</f>
        <v>40</v>
      </c>
    </row>
  </sheetData>
  <pageMargins left="0.75" right="0.75" top="1" bottom="1" header="0.5" footer="0.5"/>
  <pageSetup orientation="portrait" r:id="rId1"/>
  <headerFooter alignWithMargins="0">
    <oddHeader>&amp;L2008&amp;CBusiness Computer Applications&amp;RScoring Guidelines</oddHeader>
    <oddFooter>&amp;R&amp;D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09D66C2F-C0FB-4030-A963-009C0B52CB14}">
  <ds:schemaRefs/>
</ds:datastoreItem>
</file>

<file path=customXml/itemProps2.xml><?xml version="1.0" encoding="utf-8"?>
<ds:datastoreItem xmlns:ds="http://schemas.openxmlformats.org/officeDocument/2006/customXml" ds:itemID="{F447E270-8372-46C1-987E-46407977AD34}">
  <ds:schemaRefs/>
</ds:datastoreItem>
</file>

<file path=customXml/itemProps3.xml><?xml version="1.0" encoding="utf-8"?>
<ds:datastoreItem xmlns:ds="http://schemas.openxmlformats.org/officeDocument/2006/customXml" ds:itemID="{07707B6E-2011-48E3-8A2F-D41D560C777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</vt:i4>
      </vt:variant>
    </vt:vector>
  </HeadingPairs>
  <TitlesOfParts>
    <vt:vector size="19" baseType="lpstr">
      <vt:lpstr>Introduction </vt:lpstr>
      <vt:lpstr>Task 1-Contract Work</vt:lpstr>
      <vt:lpstr>Tables</vt:lpstr>
      <vt:lpstr>Task 2-WorkingSheet</vt:lpstr>
      <vt:lpstr>Task 2-Total Pay Report </vt:lpstr>
      <vt:lpstr>Task 3-Employee Name Report </vt:lpstr>
      <vt:lpstr>Task 4-WorkingSheet</vt:lpstr>
      <vt:lpstr>Task 4-Summarize Sales</vt:lpstr>
      <vt:lpstr>Task 5-Analyze Stock Returns </vt:lpstr>
      <vt:lpstr>Task 6- Outlining</vt:lpstr>
      <vt:lpstr>Task 7- Data Validation</vt:lpstr>
      <vt:lpstr>Task 8- Pivot Tables</vt:lpstr>
      <vt:lpstr>Scoring Guide</vt:lpstr>
      <vt:lpstr>Clients</vt:lpstr>
      <vt:lpstr>'Task 7- Data Validation'!CriteriaList</vt:lpstr>
      <vt:lpstr>Database</vt:lpstr>
      <vt:lpstr>Employees</vt:lpstr>
      <vt:lpstr>'Task 5-Analyze Stock Returns '!PMReturns</vt:lpstr>
      <vt:lpstr>Work_Codes</vt:lpstr>
    </vt:vector>
  </TitlesOfParts>
  <Company>Fuqua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Ecklund</dc:creator>
  <cp:lastModifiedBy>Waleed Alsudany</cp:lastModifiedBy>
  <cp:lastPrinted>2008-06-06T14:47:34Z</cp:lastPrinted>
  <dcterms:created xsi:type="dcterms:W3CDTF">1998-06-16T17:37:51Z</dcterms:created>
  <dcterms:modified xsi:type="dcterms:W3CDTF">2021-05-08T04:09:52Z</dcterms:modified>
</cp:coreProperties>
</file>