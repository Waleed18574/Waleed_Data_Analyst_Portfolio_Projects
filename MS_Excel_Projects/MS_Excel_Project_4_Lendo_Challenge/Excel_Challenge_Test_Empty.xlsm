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ceef1e4bcd8c99a/Documents/Fuqua/Courses/2014 Fall 1/Basic Excel/Assignment 4/"/>
    </mc:Choice>
  </mc:AlternateContent>
  <xr:revisionPtr revIDLastSave="63" documentId="8_{5EC24C03-565A-40CC-8B06-0DEC34FF19AE}" xr6:coauthVersionLast="46" xr6:coauthVersionMax="46" xr10:uidLastSave="{2273B417-B80F-4764-B1CB-7B2581F9C961}"/>
  <bookViews>
    <workbookView xWindow="-9660" yWindow="-16596" windowWidth="17280" windowHeight="8916" tabRatio="799" activeTab="1" xr2:uid="{00000000-000D-0000-FFFF-FFFF00000000}"/>
  </bookViews>
  <sheets>
    <sheet name="Introduction " sheetId="20" r:id="rId1"/>
    <sheet name="Task 1-Contract Work" sheetId="1" r:id="rId2"/>
    <sheet name="Tables" sheetId="3" r:id="rId3"/>
    <sheet name="Task 2-Total Pay Report " sheetId="8" r:id="rId4"/>
    <sheet name="Task 3-Employee Name Report " sheetId="13" r:id="rId5"/>
    <sheet name="Task 4-Summarize Sales" sheetId="30" r:id="rId6"/>
    <sheet name="Task 5-Analyze Stock Returns " sheetId="18" r:id="rId7"/>
    <sheet name="Task 6- Outlining" sheetId="29" r:id="rId8"/>
    <sheet name="Task 7- Data Validation" sheetId="28" r:id="rId9"/>
    <sheet name="Task 8- Pivot Tables" sheetId="24" r:id="rId10"/>
    <sheet name="Scoring Guide" sheetId="25" r:id="rId11"/>
  </sheets>
  <definedNames>
    <definedName name="_xlnm._FilterDatabase" localSheetId="1" hidden="1">'Task 1-Contract Work'!$B$9:$J$111</definedName>
    <definedName name="_xlnm._FilterDatabase" localSheetId="5" hidden="1">'Task 4-Summarize Sales'!$B$7:$F$89</definedName>
    <definedName name="_xlnm._FilterDatabase" localSheetId="9" hidden="1">'Task 8- Pivot Tables'!$C$8:$G$224</definedName>
    <definedName name="Clients">Tables!$C$19:$D$28</definedName>
    <definedName name="CriteriaList" localSheetId="8">'Task 7- Data Validation'!$J$7:$J$16</definedName>
    <definedName name="_xlnm.Database">'Task 8- Pivot Tables'!$C$8:$G$224</definedName>
    <definedName name="Employees">Tables!$C$33:$E$72</definedName>
    <definedName name="PMReturns" localSheetId="6">'Task 5-Analyze Stock Returns '!$F$12:$F$94</definedName>
    <definedName name="Work_Codes">Tables!$C$12:$E$14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30" l="1"/>
  <c r="E8" i="30"/>
  <c r="E60" i="30"/>
  <c r="E42" i="30"/>
  <c r="E41" i="30"/>
  <c r="E12" i="30"/>
  <c r="E83" i="30"/>
  <c r="E89" i="30"/>
  <c r="E86" i="30"/>
  <c r="E85" i="30"/>
  <c r="E33" i="30"/>
  <c r="E32" i="30"/>
  <c r="E59" i="30"/>
  <c r="E58" i="30"/>
  <c r="E57" i="30"/>
  <c r="E40" i="30"/>
  <c r="E39" i="30"/>
  <c r="E20" i="30"/>
  <c r="E88" i="30"/>
  <c r="E48" i="30"/>
  <c r="E31" i="30"/>
  <c r="E29" i="30"/>
  <c r="E30" i="30"/>
  <c r="E11" i="30"/>
  <c r="E77" i="30"/>
  <c r="E76" i="30"/>
  <c r="E75" i="30"/>
  <c r="E87" i="30"/>
  <c r="E78" i="30"/>
  <c r="E24" i="30"/>
  <c r="E25" i="30"/>
  <c r="E26" i="30"/>
  <c r="E54" i="30"/>
  <c r="E56" i="30"/>
  <c r="E55" i="30"/>
  <c r="E51" i="30"/>
  <c r="E53" i="30"/>
  <c r="E52" i="30"/>
  <c r="E37" i="30"/>
  <c r="E15" i="30"/>
  <c r="E14" i="30"/>
  <c r="E73" i="30"/>
  <c r="E72" i="30"/>
  <c r="E74" i="30"/>
  <c r="E71" i="30"/>
  <c r="E70" i="30"/>
  <c r="E45" i="30"/>
  <c r="E44" i="30"/>
  <c r="E23" i="30"/>
  <c r="E22" i="30"/>
  <c r="E38" i="30"/>
  <c r="E17" i="30"/>
  <c r="E19" i="30"/>
  <c r="E16" i="30"/>
  <c r="E18" i="30"/>
  <c r="E82" i="30"/>
  <c r="E84" i="30"/>
  <c r="E81" i="30"/>
  <c r="E47" i="30"/>
  <c r="E28" i="30"/>
  <c r="E49" i="30"/>
  <c r="E50" i="30"/>
  <c r="E34" i="30"/>
  <c r="E35" i="30"/>
  <c r="E36" i="30"/>
  <c r="E13" i="30"/>
  <c r="E10" i="30"/>
  <c r="E64" i="30"/>
  <c r="E63" i="30"/>
  <c r="E65" i="30"/>
  <c r="E62" i="30"/>
  <c r="E69" i="30"/>
  <c r="E67" i="30"/>
  <c r="E68" i="30"/>
  <c r="E61" i="30"/>
  <c r="E66" i="30"/>
  <c r="E43" i="30"/>
  <c r="E21" i="30"/>
  <c r="E80" i="30"/>
  <c r="E79" i="30"/>
  <c r="E46" i="30"/>
  <c r="E27" i="30"/>
  <c r="Q20" i="29" l="1"/>
  <c r="P20" i="29"/>
  <c r="O20" i="29"/>
  <c r="M20" i="29"/>
  <c r="L20" i="29"/>
  <c r="K20" i="29"/>
  <c r="I20" i="29"/>
  <c r="H20" i="29"/>
  <c r="G20" i="29"/>
  <c r="E20" i="29"/>
  <c r="D20" i="29"/>
  <c r="C20" i="29"/>
  <c r="R19" i="29"/>
  <c r="R18" i="29"/>
  <c r="R17" i="29"/>
  <c r="Q15" i="29"/>
  <c r="P15" i="29"/>
  <c r="O15" i="29"/>
  <c r="M15" i="29"/>
  <c r="L15" i="29"/>
  <c r="K15" i="29"/>
  <c r="I15" i="29"/>
  <c r="H15" i="29"/>
  <c r="G15" i="29"/>
  <c r="E15" i="29"/>
  <c r="D15" i="29"/>
  <c r="C15" i="29"/>
  <c r="R14" i="29"/>
  <c r="R13" i="29"/>
  <c r="R12" i="29"/>
  <c r="R15" i="29" s="1"/>
  <c r="Q10" i="29"/>
  <c r="P10" i="29"/>
  <c r="P21" i="29" s="1"/>
  <c r="O10" i="29"/>
  <c r="M10" i="29"/>
  <c r="L10" i="29"/>
  <c r="K10" i="29"/>
  <c r="I10" i="29"/>
  <c r="H10" i="29"/>
  <c r="G10" i="29"/>
  <c r="E10" i="29"/>
  <c r="E21" i="29" s="1"/>
  <c r="D10" i="29"/>
  <c r="C10" i="29"/>
  <c r="R9" i="29"/>
  <c r="N9" i="29"/>
  <c r="J9" i="29"/>
  <c r="F9" i="29"/>
  <c r="R8" i="29"/>
  <c r="N8" i="29"/>
  <c r="J8" i="29"/>
  <c r="F8" i="29"/>
  <c r="R7" i="29"/>
  <c r="N7" i="29"/>
  <c r="J7" i="29"/>
  <c r="F7" i="29"/>
  <c r="F10" i="29" s="1"/>
  <c r="D21" i="29" l="1"/>
  <c r="O21" i="29"/>
  <c r="R20" i="29"/>
  <c r="J10" i="29"/>
  <c r="S8" i="29"/>
  <c r="H21" i="29"/>
  <c r="I21" i="29"/>
  <c r="K21" i="29"/>
  <c r="S7" i="29"/>
  <c r="S9" i="29"/>
  <c r="L21" i="29"/>
  <c r="G21" i="29"/>
  <c r="C21" i="29"/>
  <c r="M21" i="29"/>
  <c r="Q21" i="29"/>
  <c r="N10" i="29"/>
  <c r="N12" i="29"/>
  <c r="F12" i="29"/>
  <c r="F13" i="29" s="1"/>
  <c r="J12" i="29"/>
  <c r="J13" i="29" s="1"/>
  <c r="R10" i="29"/>
  <c r="J14" i="29" l="1"/>
  <c r="J15" i="29" s="1"/>
  <c r="S12" i="29"/>
  <c r="R21" i="29"/>
  <c r="S10" i="29"/>
  <c r="N13" i="29"/>
  <c r="S13" i="29" s="1"/>
  <c r="F14" i="29"/>
  <c r="N14" i="29" l="1"/>
  <c r="F15" i="29"/>
  <c r="J17" i="29"/>
  <c r="J18" i="29" l="1"/>
  <c r="J19" i="29" s="1"/>
  <c r="J20" i="29" s="1"/>
  <c r="J21" i="29" s="1"/>
  <c r="F17" i="29"/>
  <c r="F18" i="29" s="1"/>
  <c r="S14" i="29"/>
  <c r="N15" i="29"/>
  <c r="N17" i="29" s="1"/>
  <c r="E65" i="25"/>
  <c r="D65" i="25"/>
  <c r="E67" i="25" s="1"/>
  <c r="F19" i="29" l="1"/>
  <c r="F20" i="29" s="1"/>
  <c r="F21" i="29" s="1"/>
  <c r="N18" i="29"/>
  <c r="S18" i="29" s="1"/>
  <c r="S15" i="29"/>
  <c r="S17" i="29"/>
  <c r="E7" i="13"/>
  <c r="B7" i="8"/>
  <c r="N19" i="29" l="1"/>
  <c r="S19" i="29" s="1"/>
  <c r="N20" i="29" l="1"/>
  <c r="S20" i="29" l="1"/>
  <c r="N21" i="29"/>
  <c r="S21" i="29" s="1"/>
</calcChain>
</file>

<file path=xl/sharedStrings.xml><?xml version="1.0" encoding="utf-8"?>
<sst xmlns="http://schemas.openxmlformats.org/spreadsheetml/2006/main" count="1335" uniqueCount="225">
  <si>
    <t>Date</t>
  </si>
  <si>
    <t>From</t>
  </si>
  <si>
    <t>To</t>
  </si>
  <si>
    <t>Total Pay</t>
  </si>
  <si>
    <t>Total Hours</t>
  </si>
  <si>
    <t>Employee Code</t>
  </si>
  <si>
    <t>Name</t>
  </si>
  <si>
    <t>Specialty</t>
  </si>
  <si>
    <t>Charles Morton</t>
  </si>
  <si>
    <t>Allison Ives</t>
  </si>
  <si>
    <t>Jackson Lin</t>
  </si>
  <si>
    <t>Rodrigo Alvarez</t>
  </si>
  <si>
    <t>Arthur Reilly</t>
  </si>
  <si>
    <t>Jordan Hill</t>
  </si>
  <si>
    <t>Susanne Foster</t>
  </si>
  <si>
    <t>Scott Dilworth</t>
  </si>
  <si>
    <t>Kate Emerson</t>
  </si>
  <si>
    <t>Lori Anderson</t>
  </si>
  <si>
    <t>Eric Stokes</t>
  </si>
  <si>
    <t>Sarah Heller</t>
  </si>
  <si>
    <t>Carol Johnson</t>
  </si>
  <si>
    <t>Kevin McCallum</t>
  </si>
  <si>
    <t>James Hartigan</t>
  </si>
  <si>
    <t>Thomas Hoffman</t>
  </si>
  <si>
    <t>Bryan Fowler</t>
  </si>
  <si>
    <t>Elizabeth Roy</t>
  </si>
  <si>
    <t>Nadine Smith</t>
  </si>
  <si>
    <t>John Pane</t>
  </si>
  <si>
    <t>John O'Donnell</t>
  </si>
  <si>
    <t>Far Wen</t>
  </si>
  <si>
    <t>Carolyn Roxby</t>
  </si>
  <si>
    <t>Angela Garcia</t>
  </si>
  <si>
    <t>Tiffany Rifkin</t>
  </si>
  <si>
    <t>Sam Carver</t>
  </si>
  <si>
    <t>Everett Ko</t>
  </si>
  <si>
    <t>Norman Hardison</t>
  </si>
  <si>
    <t>Pamela Buncombe</t>
  </si>
  <si>
    <t>Ardis Foxworth</t>
  </si>
  <si>
    <t>Bob Brickey</t>
  </si>
  <si>
    <t>Casper Johnson</t>
  </si>
  <si>
    <t>Steven Galloway</t>
  </si>
  <si>
    <t>Peter Walton</t>
  </si>
  <si>
    <t>Linda Huff</t>
  </si>
  <si>
    <t>Gary Seamans</t>
  </si>
  <si>
    <t>Jose Naron</t>
  </si>
  <si>
    <t>Anne Neville</t>
  </si>
  <si>
    <t>Terri Rorick</t>
  </si>
  <si>
    <t>Renee Kringle</t>
  </si>
  <si>
    <t>Specialty Code</t>
  </si>
  <si>
    <t>Hourly Rate</t>
  </si>
  <si>
    <t>Client Code</t>
  </si>
  <si>
    <t>Client Name</t>
  </si>
  <si>
    <t>Specialty Name</t>
  </si>
  <si>
    <t>W3</t>
  </si>
  <si>
    <t>W4</t>
  </si>
  <si>
    <t>W8</t>
  </si>
  <si>
    <t>City of Morton, NC</t>
  </si>
  <si>
    <t>Wardell, Mingus, and Krenshaw</t>
  </si>
  <si>
    <t>School of the Environment</t>
  </si>
  <si>
    <t>Marshall Furniture</t>
  </si>
  <si>
    <t>Tandy's, Inc.</t>
  </si>
  <si>
    <t>Renfrow Printers &amp; Publishers</t>
  </si>
  <si>
    <t>Mallard &amp; Hernandez, Inc.</t>
  </si>
  <si>
    <t>Sanford Booksellers, Ltd.</t>
  </si>
  <si>
    <t>Rodriguez Catering</t>
  </si>
  <si>
    <t>Mack's Moving &amp; Storage</t>
  </si>
  <si>
    <t>Employee Name</t>
  </si>
  <si>
    <t>C30</t>
  </si>
  <si>
    <t>C40</t>
  </si>
  <si>
    <t>C50</t>
  </si>
  <si>
    <t>C60</t>
  </si>
  <si>
    <t>C70</t>
  </si>
  <si>
    <t>C80</t>
  </si>
  <si>
    <t>C90</t>
  </si>
  <si>
    <t>C10</t>
  </si>
  <si>
    <t>C20</t>
  </si>
  <si>
    <t>C15</t>
  </si>
  <si>
    <t>First Name</t>
  </si>
  <si>
    <t>Last Name</t>
  </si>
  <si>
    <t xml:space="preserve">Worksheets: </t>
  </si>
  <si>
    <t>Table name: Clients</t>
  </si>
  <si>
    <t>Table name: Employees</t>
  </si>
  <si>
    <t>Client Region</t>
  </si>
  <si>
    <t>Total Sales</t>
  </si>
  <si>
    <t>West</t>
  </si>
  <si>
    <t>East</t>
  </si>
  <si>
    <t xml:space="preserve">    Find out in increments of 10 how many periods the stock gave returns</t>
  </si>
  <si>
    <t xml:space="preserve">    between the lowest (-26.6) and highest (19.2) values using Excel's</t>
  </si>
  <si>
    <t xml:space="preserve">    FREQUENCY array function.</t>
  </si>
  <si>
    <t>Returns</t>
  </si>
  <si>
    <t>Season</t>
  </si>
  <si>
    <t>Year</t>
  </si>
  <si>
    <t>Type</t>
  </si>
  <si>
    <t>State</t>
  </si>
  <si>
    <t>Sales $</t>
  </si>
  <si>
    <t>Fall</t>
  </si>
  <si>
    <t>Amber Ale</t>
  </si>
  <si>
    <t>California</t>
  </si>
  <si>
    <t>Hefeweizen</t>
  </si>
  <si>
    <t>Pale Ale</t>
  </si>
  <si>
    <t>Pilsner</t>
  </si>
  <si>
    <t>Porter</t>
  </si>
  <si>
    <t>Stout</t>
  </si>
  <si>
    <t>Oregon</t>
  </si>
  <si>
    <t>Washington</t>
  </si>
  <si>
    <t>Spring</t>
  </si>
  <si>
    <t>Summer</t>
  </si>
  <si>
    <t>Winter</t>
  </si>
  <si>
    <t xml:space="preserve">Task 1-Contract Work </t>
  </si>
  <si>
    <t xml:space="preserve">Task 2-Total Pay Report </t>
  </si>
  <si>
    <t>Task 3-Employee Name Report</t>
  </si>
  <si>
    <t>Task 2: Complete the Total Pay Report</t>
  </si>
  <si>
    <t>Task 1: Complete the Work Records</t>
  </si>
  <si>
    <t>Task 3: Complete the Employee Name Report</t>
  </si>
  <si>
    <t>Tables (for Tasks 1 and 2)</t>
  </si>
  <si>
    <r>
      <t xml:space="preserve">Tables </t>
    </r>
    <r>
      <rPr>
        <i/>
        <sz val="11"/>
        <rFont val="Arial"/>
        <family val="2"/>
      </rPr>
      <t>(for Tasks 1 and 2)</t>
    </r>
  </si>
  <si>
    <t>Task 4: Summarize Sales</t>
  </si>
  <si>
    <t>Task 4-Summarize Sales</t>
  </si>
  <si>
    <t>Billable Hours</t>
  </si>
  <si>
    <t>Oglethorpe Riding Mowers</t>
  </si>
  <si>
    <t>South</t>
  </si>
  <si>
    <t>Robinett's Strip Malls</t>
  </si>
  <si>
    <t xml:space="preserve">Mulberry Electronics </t>
  </si>
  <si>
    <t>North</t>
  </si>
  <si>
    <t>Lester Redevelopment Inc.</t>
  </si>
  <si>
    <t xml:space="preserve">All Things Surf </t>
  </si>
  <si>
    <t>Second Best Buys</t>
  </si>
  <si>
    <t>Trend Advisors</t>
  </si>
  <si>
    <t>Silicon Ventures</t>
  </si>
  <si>
    <t xml:space="preserve">Task 5-Analyze Stock Returns </t>
  </si>
  <si>
    <t>Task 5: Analyze Stock Returns</t>
  </si>
  <si>
    <t>Database</t>
  </si>
  <si>
    <t xml:space="preserve">       Contract Work Records</t>
  </si>
  <si>
    <t xml:space="preserve">     Master data ranges</t>
  </si>
  <si>
    <t>Scoring Guide - For your information only. Details on how your work is scored.</t>
  </si>
  <si>
    <t>Task/Technique</t>
  </si>
  <si>
    <t>Possible Points</t>
  </si>
  <si>
    <t>Points Deducted</t>
  </si>
  <si>
    <t>Grader Notes</t>
  </si>
  <si>
    <t xml:space="preserve">    - Total Hours formulas and results correct.</t>
  </si>
  <si>
    <t xml:space="preserve">    - Hourly Rate formulas (lookup) and results correct.</t>
  </si>
  <si>
    <t xml:space="preserve">    - Total Pay formulas and results correct.</t>
  </si>
  <si>
    <t>Note: Original record order changed by subsequent</t>
  </si>
  <si>
    <t>tasks. This is to be expected.</t>
  </si>
  <si>
    <t xml:space="preserve">    - All six report columns contain appropriate data.</t>
  </si>
  <si>
    <t xml:space="preserve">    - Total pay is summed for each employee.</t>
  </si>
  <si>
    <t xml:space="preserve">    - First names in first-name column of the report.</t>
  </si>
  <si>
    <t xml:space="preserve">    - Last names in last-name column of the report.</t>
  </si>
  <si>
    <t>Task 4: Summarize Sales &amp; Hours</t>
  </si>
  <si>
    <t>When displayed in outline level 3 (or 4)</t>
  </si>
  <si>
    <t xml:space="preserve">    - Sales are totaled by client region (N, S, E, W).</t>
  </si>
  <si>
    <t xml:space="preserve">    - Hours are totaled by client name.</t>
  </si>
  <si>
    <t xml:space="preserve">    - Bin values of -30 to 20 as described.</t>
  </si>
  <si>
    <t xml:space="preserve">    - # of monthly returns values are an array.</t>
  </si>
  <si>
    <t xml:space="preserve">    - # of monthly returns are correct.</t>
  </si>
  <si>
    <t xml:space="preserve">    - View 1: Row = State , Column = Year , Data =  </t>
  </si>
  <si>
    <t xml:space="preserve">      Sum of Sales $.</t>
  </si>
  <si>
    <t xml:space="preserve">      Grand Totals for Columns only (not rows); Year 2006.</t>
  </si>
  <si>
    <t xml:space="preserve">    - View 2: Row = Type, Column = state, Page = Year and</t>
  </si>
  <si>
    <t xml:space="preserve">      Season, Data = Average of Sales $.</t>
  </si>
  <si>
    <t xml:space="preserve">      Grand Totals for both Rows and Columns.</t>
  </si>
  <si>
    <t xml:space="preserve">    - View 3: Row = Year as outer and Season as inner,</t>
  </si>
  <si>
    <t xml:space="preserve">      Column = State w/only CA and WA data shown.</t>
  </si>
  <si>
    <t xml:space="preserve">      Data = Sum and Average of Sales $.</t>
  </si>
  <si>
    <t xml:space="preserve">      Only 2005 data, no Year subtotals, No Grand Totals.</t>
  </si>
  <si>
    <t xml:space="preserve">    - View 4: No Row field, Column = Type, Data = Sum of</t>
  </si>
  <si>
    <t xml:space="preserve">      Sales $, Page field = Season.</t>
  </si>
  <si>
    <r>
      <t xml:space="preserve">       Pilsner and Stout shown for Winter </t>
    </r>
    <r>
      <rPr>
        <b/>
        <sz val="10"/>
        <rFont val="Arial"/>
        <family val="2"/>
      </rPr>
      <t>OR</t>
    </r>
  </si>
  <si>
    <r>
      <t xml:space="preserve">            Pilsner, Porter, </t>
    </r>
    <r>
      <rPr>
        <b/>
        <sz val="10"/>
        <rFont val="Arial"/>
        <family val="2"/>
      </rPr>
      <t>AND Stout</t>
    </r>
    <r>
      <rPr>
        <sz val="10"/>
        <rFont val="Arial"/>
        <family val="2"/>
      </rPr>
      <t xml:space="preserve"> shown for Winter.</t>
    </r>
  </si>
  <si>
    <r>
      <rPr>
        <b/>
        <sz val="12"/>
        <color rgb="FF002060"/>
        <rFont val="Arial"/>
        <family val="2"/>
      </rPr>
      <t>Possible</t>
    </r>
    <r>
      <rPr>
        <b/>
        <sz val="12"/>
        <rFont val="Arial"/>
        <family val="2"/>
      </rPr>
      <t>/</t>
    </r>
    <r>
      <rPr>
        <b/>
        <sz val="12"/>
        <color rgb="FFFF0000"/>
        <rFont val="Arial"/>
        <family val="2"/>
      </rPr>
      <t>Deducted</t>
    </r>
    <r>
      <rPr>
        <b/>
        <sz val="12"/>
        <rFont val="Arial"/>
        <family val="2"/>
      </rPr>
      <t xml:space="preserve"> Points:</t>
    </r>
  </si>
  <si>
    <t>Scoring guide - for your information only. Details on how your work is scored.</t>
  </si>
  <si>
    <t>Task 6-Outlining</t>
  </si>
  <si>
    <t>Task 8-Pivot Tables</t>
  </si>
  <si>
    <t xml:space="preserve">Task 8: Pivot Table </t>
  </si>
  <si>
    <t>Task 6: Basic Outlining</t>
  </si>
  <si>
    <t>Task 7: A Data Validation Application</t>
  </si>
  <si>
    <t>Quarter 1</t>
  </si>
  <si>
    <t>Quarter 2</t>
  </si>
  <si>
    <t>Quarter 3</t>
  </si>
  <si>
    <t>Quarter 4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</si>
  <si>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</si>
  <si>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</si>
  <si>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</si>
  <si>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</si>
  <si>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</si>
  <si>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</si>
  <si>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</si>
  <si>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</si>
  <si>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</si>
  <si>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</si>
  <si>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</si>
  <si>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</si>
  <si>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Corporate Sales</t>
  </si>
  <si>
    <t>Residential Sales</t>
  </si>
  <si>
    <t>Walk-in Sales</t>
  </si>
  <si>
    <t>Grand Total</t>
  </si>
  <si>
    <t>West Total</t>
  </si>
  <si>
    <t>Ohio</t>
  </si>
  <si>
    <t>Iowa</t>
  </si>
  <si>
    <t>Illinois</t>
  </si>
  <si>
    <t>Mid Total</t>
  </si>
  <si>
    <t>North Carolina</t>
  </si>
  <si>
    <t>Georgia</t>
  </si>
  <si>
    <t>Virginia</t>
  </si>
  <si>
    <t>South Total</t>
  </si>
  <si>
    <t>Task 6: Outlining</t>
  </si>
  <si>
    <t>Task 7: Data Validation and Conditional Formats</t>
  </si>
  <si>
    <t>Task 8: Create Four Pivot Table Views</t>
  </si>
  <si>
    <t xml:space="preserve">   - Outline shows the most summarized view.</t>
  </si>
  <si>
    <t xml:space="preserve">    - "Select a criterion" drop-down shows number options.</t>
  </si>
  <si>
    <t xml:space="preserve">    - Drop-down controls display of green shading</t>
  </si>
  <si>
    <t xml:space="preserve">      in cells in the data range.</t>
  </si>
  <si>
    <t xml:space="preserve">   - Data in Excel outline form.</t>
  </si>
  <si>
    <t>Select a criterion:</t>
  </si>
  <si>
    <t>Work Area</t>
  </si>
  <si>
    <t>Hands on: Managing Data</t>
  </si>
  <si>
    <t>Mogul Cell Phones</t>
  </si>
  <si>
    <t>Table name: Work_Codes</t>
  </si>
  <si>
    <t>Managing Data with Excel Scoring Guide</t>
  </si>
  <si>
    <t>Late points (if any)</t>
  </si>
  <si>
    <t>1 point per late day is deducted from the total score.</t>
  </si>
  <si>
    <t>Points Earned:</t>
  </si>
  <si>
    <t xml:space="preserve">Task 7-Data Validation </t>
  </si>
  <si>
    <t>Task 5: Analyze Stock Returns (Bonus)</t>
  </si>
  <si>
    <t>Bin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</si>
</sst>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_);[Red]\(&quot;$&quot;#,##0\)"/>
    <numFmt numFmtId="165" formatCode="&quot;$&quot;#,##0.00_);\(&quot;$&quot;#,##0.00\)"/>
    <numFmt numFmtId="166" formatCode="_(&quot;$&quot;* #,##0.00_);_(&quot;$&quot;* \(#,##0.00\);_(&quot;$&quot;* &quot;-&quot;??_);_(@_)"/>
    <numFmt numFmtId="167" formatCode="0.0"/>
    <numFmt numFmtId="168" formatCode="&quot;$&quot;#,##0"/>
    <numFmt numFmtId="169" formatCode="&quot;$&quot;#,##0.00"/>
    <numFmt numFmtId="170" formatCode="mmmm\ d\,\ yyyy"/>
    <numFmt numFmtId="171" formatCode="[$-409]h:mm\ AM/PM;@"/>
    <numFmt numFmtId="172" formatCode="mm/dd/yy;@"/>
  </numFmts>
  <fonts count="42" x14ac:knownFonts="1">
    <font>
      <sz val="11"/>
      <name val="Arial"/>
    </font>
    <font>
      <sz val="11"/>
      <name val="Arial"/>
      <family val="2"/>
    </font>
    <font>
      <b/>
      <sz val="20"/>
      <color indexed="10"/>
      <name val="Trebuchet MS"/>
      <family val="2"/>
    </font>
    <font>
      <sz val="11"/>
      <name val="Trebuchet MS"/>
      <family val="2"/>
    </font>
    <font>
      <b/>
      <sz val="11"/>
      <name val="Trebuchet MS"/>
      <family val="2"/>
    </font>
    <font>
      <b/>
      <sz val="12"/>
      <color indexed="8"/>
      <name val="Trebuchet MS"/>
      <family val="2"/>
    </font>
    <font>
      <sz val="16"/>
      <color indexed="10"/>
      <name val="Trebuchet MS"/>
      <family val="2"/>
    </font>
    <font>
      <sz val="10"/>
      <name val="Trebuchet MS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20"/>
      <color indexed="18"/>
      <name val="Trebuchet MS"/>
      <family val="2"/>
    </font>
    <font>
      <sz val="11"/>
      <name val="Arial"/>
      <family val="2"/>
    </font>
    <font>
      <b/>
      <sz val="12"/>
      <color indexed="54"/>
      <name val="Arial"/>
      <family val="2"/>
    </font>
    <font>
      <b/>
      <sz val="16"/>
      <color indexed="54"/>
      <name val="Arial"/>
      <family val="2"/>
    </font>
    <font>
      <b/>
      <sz val="12"/>
      <color indexed="8"/>
      <name val="Arial"/>
      <family val="2"/>
    </font>
    <font>
      <b/>
      <sz val="11"/>
      <color indexed="18"/>
      <name val="Arial"/>
      <family val="2"/>
    </font>
    <font>
      <b/>
      <sz val="14"/>
      <color indexed="62"/>
      <name val="Arial"/>
      <family val="2"/>
    </font>
    <font>
      <sz val="12"/>
      <name val="Arial"/>
      <family val="2"/>
    </font>
    <font>
      <b/>
      <sz val="12"/>
      <color indexed="62"/>
      <name val="Arial"/>
      <family val="2"/>
    </font>
    <font>
      <i/>
      <sz val="11"/>
      <name val="Arial"/>
      <family val="2"/>
    </font>
    <font>
      <b/>
      <sz val="20"/>
      <color indexed="10"/>
      <name val="Arial"/>
      <family val="2"/>
    </font>
    <font>
      <b/>
      <sz val="11"/>
      <color theme="0"/>
      <name val="Arial"/>
      <family val="2"/>
    </font>
    <font>
      <i/>
      <sz val="12"/>
      <color indexed="8"/>
      <name val="Arial"/>
      <family val="2"/>
    </font>
    <font>
      <b/>
      <sz val="11"/>
      <color theme="0"/>
      <name val="Trebuchet MS"/>
      <family val="2"/>
    </font>
    <font>
      <i/>
      <sz val="12"/>
      <name val="Book Antiqua"/>
      <family val="1"/>
    </font>
    <font>
      <b/>
      <u/>
      <sz val="10"/>
      <color rgb="FF002060"/>
      <name val="Arial"/>
      <family val="2"/>
    </font>
    <font>
      <b/>
      <sz val="10"/>
      <color rgb="FFFF0000"/>
      <name val="Arial"/>
      <family val="2"/>
    </font>
    <font>
      <b/>
      <sz val="10"/>
      <color rgb="FF008000"/>
      <name val="Arial"/>
      <family val="2"/>
    </font>
    <font>
      <u/>
      <sz val="10"/>
      <name val="Arial"/>
      <family val="2"/>
    </font>
    <font>
      <b/>
      <sz val="12"/>
      <name val="Arial"/>
      <family val="2"/>
    </font>
    <font>
      <b/>
      <sz val="12"/>
      <color rgb="FF002060"/>
      <name val="Arial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1"/>
      <color theme="0" tint="-0.499984740745262"/>
      <name val="Arial"/>
      <family val="2"/>
    </font>
    <font>
      <b/>
      <sz val="18"/>
      <color indexed="62"/>
      <name val="Arial"/>
      <family val="2"/>
    </font>
    <font>
      <b/>
      <sz val="18"/>
      <color indexed="62"/>
      <name val="Trebuchet MS"/>
      <family val="2"/>
    </font>
    <font>
      <b/>
      <sz val="18"/>
      <color indexed="21"/>
      <name val="Trebuchet MS"/>
      <family val="2"/>
    </font>
    <font>
      <sz val="11"/>
      <color indexed="10"/>
      <name val="Arial"/>
      <family val="2"/>
    </font>
    <font>
      <i/>
      <sz val="10"/>
      <name val="Arial"/>
      <family val="2"/>
    </font>
    <font>
      <sz val="10"/>
      <color rgb="FF92D05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6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</cellStyleXfs>
  <cellXfs count="171">
    <xf numFmtId="0" fontId="0" fillId="0" borderId="0" xfId="0"/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/>
    <xf numFmtId="170" fontId="3" fillId="0" borderId="0" xfId="0" applyNumberFormat="1" applyFont="1" applyBorder="1" applyAlignment="1">
      <alignment horizontal="center"/>
    </xf>
    <xf numFmtId="170" fontId="3" fillId="0" borderId="0" xfId="0" applyNumberFormat="1" applyFont="1" applyBorder="1" applyAlignment="1">
      <alignment horizontal="left"/>
    </xf>
    <xf numFmtId="170" fontId="3" fillId="0" borderId="1" xfId="0" applyNumberFormat="1" applyFont="1" applyBorder="1"/>
    <xf numFmtId="0" fontId="3" fillId="0" borderId="2" xfId="0" applyFont="1" applyBorder="1"/>
    <xf numFmtId="0" fontId="3" fillId="0" borderId="0" xfId="0" applyFont="1" applyBorder="1"/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6" fontId="3" fillId="0" borderId="0" xfId="0" applyNumberFormat="1" applyFont="1"/>
    <xf numFmtId="168" fontId="3" fillId="0" borderId="0" xfId="0" applyNumberFormat="1" applyFont="1"/>
    <xf numFmtId="0" fontId="5" fillId="0" borderId="0" xfId="0" applyFont="1"/>
    <xf numFmtId="0" fontId="6" fillId="0" borderId="0" xfId="0" applyFont="1"/>
    <xf numFmtId="0" fontId="4" fillId="0" borderId="0" xfId="0" applyFont="1"/>
    <xf numFmtId="0" fontId="8" fillId="0" borderId="0" xfId="4"/>
    <xf numFmtId="0" fontId="10" fillId="0" borderId="0" xfId="4" applyFont="1"/>
    <xf numFmtId="0" fontId="11" fillId="0" borderId="0" xfId="4" applyFont="1" applyAlignment="1">
      <alignment horizontal="right"/>
    </xf>
    <xf numFmtId="0" fontId="8" fillId="0" borderId="0" xfId="4" applyFont="1"/>
    <xf numFmtId="0" fontId="11" fillId="0" borderId="0" xfId="0" applyFont="1"/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70" fontId="11" fillId="0" borderId="0" xfId="0" applyNumberFormat="1" applyFont="1"/>
    <xf numFmtId="0" fontId="14" fillId="0" borderId="0" xfId="4" applyFont="1"/>
    <xf numFmtId="0" fontId="15" fillId="0" borderId="0" xfId="0" applyFont="1"/>
    <xf numFmtId="0" fontId="16" fillId="0" borderId="0" xfId="0" applyFont="1"/>
    <xf numFmtId="0" fontId="8" fillId="0" borderId="0" xfId="2"/>
    <xf numFmtId="164" fontId="11" fillId="0" borderId="0" xfId="2" applyNumberFormat="1" applyFont="1"/>
    <xf numFmtId="164" fontId="11" fillId="0" borderId="0" xfId="2" applyNumberFormat="1" applyFont="1" applyAlignment="1">
      <alignment horizontal="right"/>
    </xf>
    <xf numFmtId="164" fontId="8" fillId="0" borderId="0" xfId="2" applyNumberFormat="1"/>
    <xf numFmtId="171" fontId="11" fillId="0" borderId="0" xfId="0" applyNumberFormat="1" applyFont="1"/>
    <xf numFmtId="0" fontId="13" fillId="0" borderId="0" xfId="0" applyFont="1"/>
    <xf numFmtId="0" fontId="13" fillId="0" borderId="0" xfId="0" applyFont="1" applyAlignment="1">
      <alignment horizontal="center"/>
    </xf>
    <xf numFmtId="20" fontId="13" fillId="0" borderId="0" xfId="0" applyNumberFormat="1" applyFont="1"/>
    <xf numFmtId="0" fontId="17" fillId="0" borderId="0" xfId="3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13" fillId="0" borderId="0" xfId="0" applyNumberFormat="1" applyFont="1"/>
    <xf numFmtId="0" fontId="13" fillId="0" borderId="9" xfId="0" applyFont="1" applyBorder="1" applyAlignment="1">
      <alignment horizontal="center"/>
    </xf>
    <xf numFmtId="0" fontId="13" fillId="0" borderId="10" xfId="0" applyFont="1" applyBorder="1"/>
    <xf numFmtId="164" fontId="13" fillId="0" borderId="11" xfId="0" applyNumberFormat="1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0" xfId="0" applyFont="1" applyBorder="1"/>
    <xf numFmtId="164" fontId="13" fillId="0" borderId="6" xfId="0" applyNumberFormat="1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7" xfId="0" applyFont="1" applyBorder="1"/>
    <xf numFmtId="164" fontId="13" fillId="0" borderId="2" xfId="0" applyNumberFormat="1" applyFont="1" applyBorder="1" applyAlignment="1">
      <alignment horizontal="center"/>
    </xf>
    <xf numFmtId="0" fontId="13" fillId="0" borderId="11" xfId="0" applyFont="1" applyBorder="1"/>
    <xf numFmtId="0" fontId="13" fillId="0" borderId="6" xfId="0" applyFont="1" applyBorder="1"/>
    <xf numFmtId="0" fontId="13" fillId="0" borderId="2" xfId="0" applyFont="1" applyBorder="1"/>
    <xf numFmtId="0" fontId="13" fillId="0" borderId="0" xfId="0" applyFont="1" applyBorder="1" applyAlignment="1">
      <alignment horizontal="center"/>
    </xf>
    <xf numFmtId="1" fontId="13" fillId="0" borderId="9" xfId="0" applyNumberFormat="1" applyFont="1" applyBorder="1" applyAlignment="1">
      <alignment horizontal="center"/>
    </xf>
    <xf numFmtId="1" fontId="13" fillId="0" borderId="3" xfId="0" applyNumberFormat="1" applyFont="1" applyBorder="1" applyAlignment="1">
      <alignment horizontal="center"/>
    </xf>
    <xf numFmtId="1" fontId="13" fillId="0" borderId="1" xfId="0" applyNumberFormat="1" applyFont="1" applyBorder="1" applyAlignment="1">
      <alignment horizontal="center"/>
    </xf>
    <xf numFmtId="170" fontId="13" fillId="0" borderId="1" xfId="0" applyNumberFormat="1" applyFont="1" applyBorder="1"/>
    <xf numFmtId="0" fontId="14" fillId="0" borderId="0" xfId="2" applyFont="1"/>
    <xf numFmtId="0" fontId="10" fillId="0" borderId="7" xfId="2" applyFont="1" applyBorder="1"/>
    <xf numFmtId="0" fontId="9" fillId="0" borderId="0" xfId="0" applyFont="1"/>
    <xf numFmtId="0" fontId="24" fillId="0" borderId="0" xfId="0" applyFont="1"/>
    <xf numFmtId="0" fontId="23" fillId="2" borderId="0" xfId="0" applyFont="1" applyFill="1" applyBorder="1" applyAlignment="1">
      <alignment horizontal="center" vertical="center" wrapText="1"/>
    </xf>
    <xf numFmtId="0" fontId="23" fillId="2" borderId="0" xfId="0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horizontal="center"/>
    </xf>
    <xf numFmtId="0" fontId="23" fillId="2" borderId="8" xfId="0" applyFont="1" applyFill="1" applyBorder="1" applyAlignment="1">
      <alignment horizontal="center"/>
    </xf>
    <xf numFmtId="0" fontId="23" fillId="2" borderId="5" xfId="0" applyFont="1" applyFill="1" applyBorder="1" applyAlignment="1">
      <alignment horizontal="center"/>
    </xf>
    <xf numFmtId="0" fontId="23" fillId="2" borderId="4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5" fillId="2" borderId="4" xfId="0" applyFont="1" applyFill="1" applyBorder="1" applyAlignment="1">
      <alignment horizontal="center" vertical="center" wrapText="1"/>
    </xf>
    <xf numFmtId="0" fontId="25" fillId="2" borderId="5" xfId="0" applyFont="1" applyFill="1" applyBorder="1" applyAlignment="1">
      <alignment horizontal="center" vertical="center" wrapText="1"/>
    </xf>
    <xf numFmtId="0" fontId="1" fillId="0" borderId="0" xfId="0" applyFont="1"/>
    <xf numFmtId="0" fontId="26" fillId="0" borderId="0" xfId="0" applyFont="1"/>
    <xf numFmtId="0" fontId="8" fillId="0" borderId="0" xfId="5"/>
    <xf numFmtId="0" fontId="20" fillId="0" borderId="0" xfId="5" applyFont="1"/>
    <xf numFmtId="0" fontId="8" fillId="0" borderId="7" xfId="5" applyBorder="1"/>
    <xf numFmtId="0" fontId="10" fillId="0" borderId="7" xfId="5" applyFont="1" applyBorder="1" applyAlignment="1">
      <alignment horizontal="center"/>
    </xf>
    <xf numFmtId="0" fontId="10" fillId="0" borderId="7" xfId="5" applyFont="1" applyBorder="1" applyAlignment="1">
      <alignment horizontal="center" wrapText="1"/>
    </xf>
    <xf numFmtId="0" fontId="8" fillId="3" borderId="0" xfId="5" applyFill="1" applyAlignment="1">
      <alignment horizontal="center"/>
    </xf>
    <xf numFmtId="0" fontId="8" fillId="3" borderId="0" xfId="5" applyFill="1"/>
    <xf numFmtId="0" fontId="27" fillId="3" borderId="0" xfId="5" applyFont="1" applyFill="1"/>
    <xf numFmtId="0" fontId="8" fillId="3" borderId="12" xfId="5" applyFill="1" applyBorder="1" applyAlignment="1">
      <alignment horizontal="center"/>
    </xf>
    <xf numFmtId="0" fontId="8" fillId="3" borderId="12" xfId="5" applyFill="1" applyBorder="1"/>
    <xf numFmtId="0" fontId="10" fillId="4" borderId="0" xfId="5" applyFont="1" applyFill="1" applyAlignment="1">
      <alignment horizontal="center"/>
    </xf>
    <xf numFmtId="0" fontId="28" fillId="3" borderId="0" xfId="5" applyFont="1" applyFill="1" applyAlignment="1">
      <alignment horizontal="center"/>
    </xf>
    <xf numFmtId="0" fontId="8" fillId="5" borderId="0" xfId="5" applyFill="1"/>
    <xf numFmtId="0" fontId="29" fillId="3" borderId="0" xfId="5" applyFont="1" applyFill="1"/>
    <xf numFmtId="0" fontId="30" fillId="3" borderId="0" xfId="5" applyFont="1" applyFill="1"/>
    <xf numFmtId="0" fontId="8" fillId="3" borderId="0" xfId="5" applyFont="1" applyFill="1"/>
    <xf numFmtId="0" fontId="8" fillId="0" borderId="12" xfId="5" applyBorder="1"/>
    <xf numFmtId="0" fontId="10" fillId="4" borderId="12" xfId="5" applyFont="1" applyFill="1" applyBorder="1" applyAlignment="1">
      <alignment horizontal="center"/>
    </xf>
    <xf numFmtId="0" fontId="28" fillId="3" borderId="12" xfId="5" applyFont="1" applyFill="1" applyBorder="1" applyAlignment="1">
      <alignment horizontal="center"/>
    </xf>
    <xf numFmtId="0" fontId="8" fillId="5" borderId="12" xfId="5" applyFill="1" applyBorder="1"/>
    <xf numFmtId="0" fontId="8" fillId="0" borderId="7" xfId="5" applyBorder="1" applyAlignment="1">
      <alignment horizontal="center"/>
    </xf>
    <xf numFmtId="0" fontId="31" fillId="0" borderId="0" xfId="5" applyFont="1" applyAlignment="1">
      <alignment horizontal="right" vertical="center"/>
    </xf>
    <xf numFmtId="0" fontId="20" fillId="0" borderId="0" xfId="5" applyFont="1" applyAlignment="1">
      <alignment horizontal="center"/>
    </xf>
    <xf numFmtId="0" fontId="20" fillId="0" borderId="0" xfId="5" applyFont="1" applyAlignment="1">
      <alignment horizontal="right" vertical="center"/>
    </xf>
    <xf numFmtId="0" fontId="26" fillId="0" borderId="0" xfId="5" applyFont="1"/>
    <xf numFmtId="0" fontId="34" fillId="0" borderId="0" xfId="5" applyFont="1"/>
    <xf numFmtId="0" fontId="1" fillId="0" borderId="10" xfId="0" applyFont="1" applyBorder="1"/>
    <xf numFmtId="0" fontId="1" fillId="0" borderId="0" xfId="0" applyFont="1" applyBorder="1"/>
    <xf numFmtId="0" fontId="1" fillId="0" borderId="7" xfId="0" applyFont="1" applyBorder="1"/>
    <xf numFmtId="0" fontId="1" fillId="0" borderId="0" xfId="6"/>
    <xf numFmtId="0" fontId="34" fillId="0" borderId="0" xfId="6" applyFont="1"/>
    <xf numFmtId="0" fontId="35" fillId="0" borderId="0" xfId="6" applyFont="1" applyAlignment="1">
      <alignment horizontal="center"/>
    </xf>
    <xf numFmtId="0" fontId="34" fillId="0" borderId="0" xfId="6" applyFont="1" applyAlignment="1">
      <alignment horizontal="center"/>
    </xf>
    <xf numFmtId="3" fontId="1" fillId="0" borderId="0" xfId="6" applyNumberFormat="1"/>
    <xf numFmtId="3" fontId="34" fillId="0" borderId="0" xfId="6" applyNumberFormat="1" applyFont="1"/>
    <xf numFmtId="0" fontId="1" fillId="0" borderId="12" xfId="6" applyBorder="1"/>
    <xf numFmtId="3" fontId="1" fillId="0" borderId="12" xfId="6" applyNumberFormat="1" applyBorder="1"/>
    <xf numFmtId="3" fontId="34" fillId="0" borderId="12" xfId="6" applyNumberFormat="1" applyFont="1" applyBorder="1"/>
    <xf numFmtId="0" fontId="34" fillId="0" borderId="0" xfId="6" applyFont="1" applyAlignment="1">
      <alignment horizontal="right"/>
    </xf>
    <xf numFmtId="0" fontId="34" fillId="0" borderId="14" xfId="6" applyFont="1" applyBorder="1" applyAlignment="1">
      <alignment horizontal="right"/>
    </xf>
    <xf numFmtId="3" fontId="1" fillId="0" borderId="14" xfId="6" applyNumberFormat="1" applyBorder="1"/>
    <xf numFmtId="3" fontId="34" fillId="0" borderId="14" xfId="6" applyNumberFormat="1" applyFont="1" applyBorder="1"/>
    <xf numFmtId="0" fontId="34" fillId="0" borderId="13" xfId="6" applyFont="1" applyBorder="1" applyAlignment="1">
      <alignment horizontal="center"/>
    </xf>
    <xf numFmtId="0" fontId="1" fillId="0" borderId="0" xfId="6" applyAlignment="1">
      <alignment horizontal="center"/>
    </xf>
    <xf numFmtId="0" fontId="18" fillId="0" borderId="0" xfId="6" applyFont="1" applyBorder="1" applyAlignment="1"/>
    <xf numFmtId="0" fontId="18" fillId="0" borderId="0" xfId="6" applyFont="1"/>
    <xf numFmtId="0" fontId="1" fillId="0" borderId="6" xfId="0" applyFont="1" applyBorder="1"/>
    <xf numFmtId="0" fontId="23" fillId="2" borderId="11" xfId="0" applyFont="1" applyFill="1" applyBorder="1" applyAlignment="1">
      <alignment horizontal="center"/>
    </xf>
    <xf numFmtId="0" fontId="1" fillId="0" borderId="2" xfId="0" applyFont="1" applyBorder="1"/>
    <xf numFmtId="0" fontId="3" fillId="0" borderId="0" xfId="6" applyFont="1"/>
    <xf numFmtId="0" fontId="39" fillId="0" borderId="0" xfId="6" applyFont="1"/>
    <xf numFmtId="0" fontId="8" fillId="0" borderId="0" xfId="6" applyFont="1"/>
    <xf numFmtId="0" fontId="3" fillId="0" borderId="9" xfId="6" applyFont="1" applyBorder="1"/>
    <xf numFmtId="0" fontId="12" fillId="0" borderId="10" xfId="6" applyFont="1" applyBorder="1" applyAlignment="1">
      <alignment horizontal="left" vertical="center"/>
    </xf>
    <xf numFmtId="0" fontId="12" fillId="0" borderId="10" xfId="6" applyFont="1" applyBorder="1" applyAlignment="1">
      <alignment vertical="center"/>
    </xf>
    <xf numFmtId="0" fontId="12" fillId="0" borderId="11" xfId="6" applyFont="1" applyBorder="1" applyAlignment="1">
      <alignment vertical="center"/>
    </xf>
    <xf numFmtId="170" fontId="3" fillId="0" borderId="1" xfId="6" applyNumberFormat="1" applyFont="1" applyBorder="1"/>
    <xf numFmtId="0" fontId="3" fillId="0" borderId="7" xfId="6" applyFont="1" applyBorder="1"/>
    <xf numFmtId="0" fontId="3" fillId="0" borderId="2" xfId="6" applyFont="1" applyBorder="1"/>
    <xf numFmtId="0" fontId="23" fillId="6" borderId="7" xfId="6" applyFont="1" applyFill="1" applyBorder="1" applyAlignment="1">
      <alignment horizontal="center" wrapText="1"/>
    </xf>
    <xf numFmtId="0" fontId="23" fillId="6" borderId="7" xfId="6" applyFont="1" applyFill="1" applyBorder="1" applyAlignment="1">
      <alignment horizontal="center"/>
    </xf>
    <xf numFmtId="0" fontId="8" fillId="0" borderId="0" xfId="6" applyFont="1" applyAlignment="1">
      <alignment horizontal="center"/>
    </xf>
    <xf numFmtId="172" fontId="8" fillId="0" borderId="0" xfId="6" applyNumberFormat="1" applyFont="1"/>
    <xf numFmtId="37" fontId="8" fillId="0" borderId="0" xfId="6" applyNumberFormat="1" applyFont="1"/>
    <xf numFmtId="165" fontId="8" fillId="0" borderId="0" xfId="1" applyNumberFormat="1" applyFont="1"/>
    <xf numFmtId="1" fontId="8" fillId="0" borderId="0" xfId="6" applyNumberFormat="1" applyFont="1" applyAlignment="1">
      <alignment horizontal="left"/>
    </xf>
    <xf numFmtId="1" fontId="3" fillId="0" borderId="0" xfId="6" applyNumberFormat="1" applyFont="1" applyAlignment="1">
      <alignment horizontal="left"/>
    </xf>
    <xf numFmtId="1" fontId="8" fillId="0" borderId="0" xfId="6" applyNumberFormat="1" applyFont="1" applyAlignment="1">
      <alignment horizontal="center"/>
    </xf>
    <xf numFmtId="16" fontId="3" fillId="0" borderId="0" xfId="6" applyNumberFormat="1" applyFont="1"/>
    <xf numFmtId="168" fontId="3" fillId="0" borderId="0" xfId="6" applyNumberFormat="1" applyFont="1"/>
    <xf numFmtId="0" fontId="7" fillId="0" borderId="0" xfId="6" applyFont="1"/>
    <xf numFmtId="0" fontId="20" fillId="0" borderId="4" xfId="5" applyFont="1" applyBorder="1" applyAlignment="1">
      <alignment horizontal="center"/>
    </xf>
    <xf numFmtId="0" fontId="33" fillId="0" borderId="5" xfId="5" applyFont="1" applyBorder="1" applyAlignment="1">
      <alignment horizontal="center"/>
    </xf>
    <xf numFmtId="0" fontId="31" fillId="0" borderId="0" xfId="6" applyFont="1" applyAlignment="1">
      <alignment horizontal="right"/>
    </xf>
    <xf numFmtId="0" fontId="8" fillId="0" borderId="13" xfId="5" applyBorder="1"/>
    <xf numFmtId="0" fontId="40" fillId="0" borderId="0" xfId="6" applyFont="1"/>
    <xf numFmtId="0" fontId="18" fillId="0" borderId="0" xfId="0" applyFont="1" applyBorder="1" applyAlignment="1"/>
    <xf numFmtId="0" fontId="13" fillId="0" borderId="9" xfId="0" applyFont="1" applyBorder="1"/>
    <xf numFmtId="0" fontId="3" fillId="0" borderId="11" xfId="0" applyFont="1" applyBorder="1"/>
    <xf numFmtId="0" fontId="13" fillId="0" borderId="3" xfId="0" applyFont="1" applyBorder="1"/>
    <xf numFmtId="0" fontId="3" fillId="0" borderId="6" xfId="0" applyFont="1" applyBorder="1"/>
    <xf numFmtId="0" fontId="13" fillId="0" borderId="1" xfId="0" applyFont="1" applyBorder="1"/>
    <xf numFmtId="0" fontId="36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170" fontId="13" fillId="0" borderId="3" xfId="0" applyNumberFormat="1" applyFont="1" applyBorder="1" applyAlignment="1">
      <alignment horizontal="center"/>
    </xf>
    <xf numFmtId="170" fontId="13" fillId="0" borderId="0" xfId="0" applyNumberFormat="1" applyFont="1" applyBorder="1" applyAlignment="1">
      <alignment horizontal="center"/>
    </xf>
    <xf numFmtId="170" fontId="13" fillId="0" borderId="6" xfId="0" applyNumberFormat="1" applyFont="1" applyBorder="1" applyAlignment="1">
      <alignment horizontal="center"/>
    </xf>
    <xf numFmtId="0" fontId="37" fillId="0" borderId="9" xfId="0" applyFont="1" applyBorder="1" applyAlignment="1">
      <alignment horizontal="center" vertical="center"/>
    </xf>
    <xf numFmtId="0" fontId="38" fillId="0" borderId="11" xfId="0" applyFont="1" applyBorder="1" applyAlignment="1">
      <alignment horizontal="center" vertical="center"/>
    </xf>
    <xf numFmtId="170" fontId="3" fillId="0" borderId="3" xfId="0" applyNumberFormat="1" applyFont="1" applyBorder="1" applyAlignment="1">
      <alignment horizontal="center"/>
    </xf>
    <xf numFmtId="170" fontId="3" fillId="0" borderId="6" xfId="0" applyNumberFormat="1" applyFont="1" applyBorder="1" applyAlignment="1">
      <alignment horizontal="center"/>
    </xf>
    <xf numFmtId="167" fontId="41" fillId="7" borderId="0" xfId="0" applyNumberFormat="1" applyFont="1" applyFill="1"/>
    <xf numFmtId="168" fontId="41" fillId="7" borderId="0" xfId="0" applyNumberFormat="1" applyFont="1" applyFill="1"/>
    <xf numFmtId="169" fontId="41" fillId="7" borderId="0" xfId="0" applyNumberFormat="1" applyFont="1" applyFill="1"/>
  </cellXfs>
  <cellStyles count="7">
    <cellStyle name="Currency" xfId="1" builtinId="4"/>
    <cellStyle name="Normal" xfId="0" builtinId="0"/>
    <cellStyle name="Normal 2" xfId="5" xr:uid="{00000000-0005-0000-0000-000002000000}"/>
    <cellStyle name="Normal 2 2" xfId="6" xr:uid="{00000000-0005-0000-0000-000003000000}"/>
    <cellStyle name="Normal_BeerSalesDatabase" xfId="2" xr:uid="{00000000-0005-0000-0000-000004000000}"/>
    <cellStyle name="Normal_Book1" xfId="3" xr:uid="{00000000-0005-0000-0000-000005000000}"/>
    <cellStyle name="Normal_New Tasks for 2004" xfId="4" xr:uid="{00000000-0005-0000-0000-000006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FDFD3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10</xdr:row>
      <xdr:rowOff>47625</xdr:rowOff>
    </xdr:from>
    <xdr:to>
      <xdr:col>1</xdr:col>
      <xdr:colOff>428625</xdr:colOff>
      <xdr:row>10</xdr:row>
      <xdr:rowOff>171450</xdr:rowOff>
    </xdr:to>
    <xdr:pic>
      <xdr:nvPicPr>
        <xdr:cNvPr id="17409" name="Picture 1" descr="BD21295_">
          <a:extLst>
            <a:ext uri="{FF2B5EF4-FFF2-40B4-BE49-F238E27FC236}">
              <a16:creationId xmlns:a16="http://schemas.microsoft.com/office/drawing/2014/main" id="{00000000-0008-0000-0000-000001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1657350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9</xdr:row>
      <xdr:rowOff>38100</xdr:rowOff>
    </xdr:from>
    <xdr:to>
      <xdr:col>1</xdr:col>
      <xdr:colOff>428625</xdr:colOff>
      <xdr:row>9</xdr:row>
      <xdr:rowOff>161925</xdr:rowOff>
    </xdr:to>
    <xdr:pic>
      <xdr:nvPicPr>
        <xdr:cNvPr id="17410" name="Picture 2" descr="BD21295_">
          <a:extLst>
            <a:ext uri="{FF2B5EF4-FFF2-40B4-BE49-F238E27FC236}">
              <a16:creationId xmlns:a16="http://schemas.microsoft.com/office/drawing/2014/main" id="{00000000-0008-0000-0000-000002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1457325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13</xdr:row>
      <xdr:rowOff>47625</xdr:rowOff>
    </xdr:from>
    <xdr:to>
      <xdr:col>1</xdr:col>
      <xdr:colOff>428625</xdr:colOff>
      <xdr:row>13</xdr:row>
      <xdr:rowOff>171450</xdr:rowOff>
    </xdr:to>
    <xdr:pic>
      <xdr:nvPicPr>
        <xdr:cNvPr id="17411" name="Picture 3" descr="BD21295_">
          <a:extLst>
            <a:ext uri="{FF2B5EF4-FFF2-40B4-BE49-F238E27FC236}">
              <a16:creationId xmlns:a16="http://schemas.microsoft.com/office/drawing/2014/main" id="{00000000-0008-0000-0000-000003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2228850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14</xdr:row>
      <xdr:rowOff>47625</xdr:rowOff>
    </xdr:from>
    <xdr:to>
      <xdr:col>1</xdr:col>
      <xdr:colOff>428625</xdr:colOff>
      <xdr:row>14</xdr:row>
      <xdr:rowOff>171450</xdr:rowOff>
    </xdr:to>
    <xdr:pic>
      <xdr:nvPicPr>
        <xdr:cNvPr id="17412" name="Picture 4" descr="BD21295_">
          <a:extLst>
            <a:ext uri="{FF2B5EF4-FFF2-40B4-BE49-F238E27FC236}">
              <a16:creationId xmlns:a16="http://schemas.microsoft.com/office/drawing/2014/main" id="{00000000-0008-0000-0000-000004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2647950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11</xdr:row>
      <xdr:rowOff>47625</xdr:rowOff>
    </xdr:from>
    <xdr:to>
      <xdr:col>1</xdr:col>
      <xdr:colOff>428625</xdr:colOff>
      <xdr:row>11</xdr:row>
      <xdr:rowOff>171450</xdr:rowOff>
    </xdr:to>
    <xdr:pic>
      <xdr:nvPicPr>
        <xdr:cNvPr id="17413" name="Picture 5" descr="BD21295_">
          <a:extLst>
            <a:ext uri="{FF2B5EF4-FFF2-40B4-BE49-F238E27FC236}">
              <a16:creationId xmlns:a16="http://schemas.microsoft.com/office/drawing/2014/main" id="{00000000-0008-0000-0000-000005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1847850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17</xdr:row>
      <xdr:rowOff>47625</xdr:rowOff>
    </xdr:from>
    <xdr:to>
      <xdr:col>1</xdr:col>
      <xdr:colOff>428625</xdr:colOff>
      <xdr:row>17</xdr:row>
      <xdr:rowOff>171450</xdr:rowOff>
    </xdr:to>
    <xdr:pic>
      <xdr:nvPicPr>
        <xdr:cNvPr id="17414" name="Picture 6" descr="BD21295_">
          <a:extLst>
            <a:ext uri="{FF2B5EF4-FFF2-40B4-BE49-F238E27FC236}">
              <a16:creationId xmlns:a16="http://schemas.microsoft.com/office/drawing/2014/main" id="{00000000-0008-0000-0000-000006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3219450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12</xdr:row>
      <xdr:rowOff>47625</xdr:rowOff>
    </xdr:from>
    <xdr:to>
      <xdr:col>1</xdr:col>
      <xdr:colOff>428625</xdr:colOff>
      <xdr:row>12</xdr:row>
      <xdr:rowOff>171450</xdr:rowOff>
    </xdr:to>
    <xdr:pic>
      <xdr:nvPicPr>
        <xdr:cNvPr id="17418" name="Picture 10" descr="BD21295_">
          <a:extLst>
            <a:ext uri="{FF2B5EF4-FFF2-40B4-BE49-F238E27FC236}">
              <a16:creationId xmlns:a16="http://schemas.microsoft.com/office/drawing/2014/main" id="{00000000-0008-0000-0000-00000A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2038350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16</xdr:row>
      <xdr:rowOff>47625</xdr:rowOff>
    </xdr:from>
    <xdr:to>
      <xdr:col>1</xdr:col>
      <xdr:colOff>428625</xdr:colOff>
      <xdr:row>16</xdr:row>
      <xdr:rowOff>171450</xdr:rowOff>
    </xdr:to>
    <xdr:pic>
      <xdr:nvPicPr>
        <xdr:cNvPr id="10" name="Picture 6" descr="BD21295_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3028950"/>
          <a:ext cx="142875" cy="123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15</xdr:row>
      <xdr:rowOff>47625</xdr:rowOff>
    </xdr:from>
    <xdr:to>
      <xdr:col>1</xdr:col>
      <xdr:colOff>428625</xdr:colOff>
      <xdr:row>15</xdr:row>
      <xdr:rowOff>171450</xdr:rowOff>
    </xdr:to>
    <xdr:pic>
      <xdr:nvPicPr>
        <xdr:cNvPr id="11" name="Picture 6" descr="BD21295_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1550" y="2838450"/>
          <a:ext cx="142875" cy="12382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5</xdr:row>
      <xdr:rowOff>790575</xdr:rowOff>
    </xdr:from>
    <xdr:to>
      <xdr:col>4</xdr:col>
      <xdr:colOff>390525</xdr:colOff>
      <xdr:row>5</xdr:row>
      <xdr:rowOff>1076325</xdr:rowOff>
    </xdr:to>
    <xdr:sp macro="" textlink="">
      <xdr:nvSpPr>
        <xdr:cNvPr id="7169" name="Text Box 1">
          <a:extLs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 txBox="1">
          <a:spLocks noChangeArrowheads="1"/>
        </xdr:cNvSpPr>
      </xdr:nvSpPr>
      <xdr:spPr bwMode="auto">
        <a:xfrm>
          <a:off x="2905125" y="1724025"/>
          <a:ext cx="2495550" cy="2857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600" b="0" i="1" strike="noStrike">
              <a:solidFill>
                <a:srgbClr val="000000"/>
              </a:solidFill>
              <a:latin typeface="Book Antiqua"/>
            </a:rPr>
            <a:t>Total Pay Report</a:t>
          </a:r>
        </a:p>
      </xdr:txBody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304800</xdr:colOff>
      <xdr:row>4</xdr:row>
      <xdr:rowOff>123825</xdr:rowOff>
    </xdr:to>
    <xdr:sp macro="" textlink="">
      <xdr:nvSpPr>
        <xdr:cNvPr id="2049" name="AutoShape 1" descr="data:image/jpeg;base64,/9j/4AAQSkZJRgABAQAAAQABAAD/2wCEAAkGBwgHBgkIBwgWFgkVGRcaFRQYGCMgHBwWIBwdHiQdHx4nIygsGyYmJx8eLT0jLiwrLjIyIyszOD84PDQtLisBCgoKBQUFDgUFDisZExkrKysrKysrKysrKysrKysrKysrKysrKysrKysrKysrKysrKysrKysrKysrKysrKysrK//AABEIASoAqQMBIgACEQEDEQH/xAAcAAEBAAIDAQEAAAAAAAAAAAAACAUHAwQGAgH/xABEEAABAgQBBgsFBwIFBQAAAAAAAQIDBAURBgcXIXKTsxIxNjdBUVJVdNHSFGFxgZIIEzKCkaHBVLEiU2JzshUWIzNC/8QAFAEBAAAAAAAAAAAAAAAAAAAAAP/EABQRAQAAAAAAAAAAAAAAAAAAAAD/2gAMAwEAAhEDEQA/APa5T8o0tgqWZLy0NIlXiJdkNfwtbxcN9tNr8SJa9l0oT9WsfYqrUZ0SdrcVGr/8Q3KxiJ1cFtkX4rdTrY5q8SuYuq1QiPujorkb/ttXgtT5NRDBAdp1Sn3KqunYl9dfM+PbZv8Aqn/UpwADn9tm/wCqf9Sn6k9ONW6TT/qXzOuAO1/1Ge/rIn1r5n4s/OuSyzb/AKl8zrADn9tm/wCqf9Sn46amHfimHL+ZThAHIseMqKixXW+KnGAAAAA+2RYjEsyIqJ7lPgAdhs9Nt/DNPT8y+Z8um5l34ph6/mU4QB2oNRnoC3gzsRq+56p/JmqXj3FlKiI+Tr8fVe/ht+l90/Y82AKTyW5VmYqmG0mtQmw6rZVY5uhkS2lURFVeC5E02uqLZbW4jaBEkhORqfPS87KvtHhua9i9Tmqip+6FRZzKT1fuBKoAAAAAAAAAAAAAAAAAAAAAAAAAAHJ99F/zF/U4wAPV4PyfYgxfAiTFKl2pKtWyxIjuC1XaP8KcaqunqseUKjyE828hrxt44DVOY3F3bl9ovpGY3F3bl9ovpKWAE05jcXduX2i+kZjcXduX2i+kpYATTmNxd25faL6RmNxd25faL6SlgBNOY3F3bl9ovpGY3F3bl9ovpKWAE05jcXduX2i+kZjcXduX2i+kpYATTmNxd25faL6RmNxd25faL6SlgBNOY3F3bl9ovpGY3F3bl9ovpKWAE05jcXduX2i+kZjcXduX2i+kpYATTmNxd25faL6TF4kyU4pw9S4lSmoDHyzNL1hP4Stb2lRURbe9L2410aSqjCY45FYg8LMbpwEbgAAVHkJ5t5DXjbxxLhUeQnm3kNeNvHAbAAAAAAAAAAAAAAAAAAAAAADCY35F1/wsxunGbMJjfkXX/CzG6cBG4AAFR5CebeQ1428cS4VHkJ5t5DXjbxwGwAAAAAAAAAAAAAAAAAAAAAAwmN+Rdf8ACzG6cZswmN+Rdf8ACzG6cBG4AAFR5CebeQ1428cS4VHkJ5t5DXjbxwGwAAAAAAAAAAAAAAAAAAAAAAwmN+Rdf8LMbpxmzCY35F1/wsxunARuAABUeQnm3kNeNvHEuFR5CebeQ1428cBsAAAAAAAAAAAAAAAAAAAAAAMJjfkXX/CzG6cZswmN+Rdf8LMbpwEbgAAVHkJ5t5DXjbxxLhUeQnm3kNeNvHAbAAAAAAAAAAAAAAAAAAAAAADCY35F1/wsxunGbMJjfkXX/CzG6cBG4AAFR5CebeQ1428cS4VHkJ5t5DXjbxwGwAAAAAAAAAAAAAAAAAAAAAAwmN+Rdf8ACzG6cZswmN+Rdf8ACzG6cBG4AAFR5CebeQ1428cS4VHkJ5t5DXjbxwGwAAAAAAAAAAAAAAAAAAAAAAwmN+Rdf8LMbpxmzCY35F1/wsxunARuAABUeQnm3kNeNvHEuFR5CebeQ1428cBsAAAAAAAAAAAAAAAAAAAAAAMJjfkXX/CzG6cZswmN+Rdf8LMbpwEbgAAVHkJ5t5DXjbxxLhUeQnm3kNeNvHAbAAAAAAAAAAAAAAAAAAAAAADCY35F1/wsxunGbMJjfkXX/CzG6cBG4AAFR5CebeQ1428cS4VHkJ5t5DXjbxwGwAAAAAAAAAAAAAAAAAAAAAAwmN+Rdf8ACzG6cZswmN+Rdf8ACzG6cBG4AAFR5CebeQ1428cS4VHkJ5t5DXjbxwGwAAAAAAAAAAAAAAAAAAAAAAwmN+Rdf8LMbpxmzCY35F1/wsxunARuAABUeQnm3kNeNvHEuFR5CebeQ1428cBsAAAAAAAAAAAAAAAAAAAAAAMJjfkXX/CzG6cZswmN+Rdf8LMbpwEbgAAbnyR5UaNh3DyUWutezgOe5kRreEio5b2VE0ot1Xotb99MACos8uCe8H7F/kM8uCe8H7F/kS6AKizy4J7wfsX+Qzy4J7wfsX+RLoAqLPLgnvB+xf5DPLgnvB+xf5EugCos8uCe8H7F/kM8uCe8H7F/kS6AKizy4J7wfsX+Qzy4J7wfsX+RNsvQ6vMwEmJelR3QV0o9sJytt8USx0HNcxyte2zk0Ki9YFQ55cE94P2L/IZ5cE94P2L/ACJdAFRZ5cE94P2L/IZ5cE94P2L/ACJdAFRZ5cE94P2L/IZ5cE94P2L/ACJdAFRZ5cE94P2L/IwGOcsOG5rDFQkKOr4s1HhvhJdita1HtVquVV6kVdCIt16uMnwAAAAAAAAAdulU2cq9QgU+my6xJuItmMTjVeP5IiXVVXQiJdTacDIHXHyX3karQGzVtEOzlbfqV9tHyavzO39mmUl31Cuzb2p7SxkFrF6Ua5Xq7/g030BGeJ8N1TC1TdT6zL8GLxtVFu1ze01elP3TpspiCjPtGyktEwfJTcRE9oZHa1i202cx3Canx4KL+UnMAUfkoyXSNGp8Cr1+WSJVnojmsel2wU40REXjfxXVeJdCcSq7RGDoEKaxdRJeO28J8xAa5F6WrEaioWWAPK45wHR8YyMRk3BRk/b/AMcw1qcNqpxX7bf9K/Ky6U9UAIqrdKm6HVpql1BlpmE5WuTo+KdaKllRepTom0PtES8KDjyDEhtRHPl4bn+93DiN0/JrTV4HapdOnKtUIEhTZdYk3EWzGN41X+ETjVV0ImlTbMnkBqsSTR85WoTJnsNYrkT3K66f2Pz7NsrLRK7V5qIie0shMRmq5y8JU+lun3+8oECOcX4Tq2EKiklWIKIqpdkRq3Y9Otq2Ti6lRFTq0oYIpb7QctLRcBpHjon30ONDWGvTdboqfpdbe73E0gAAAAAAHfr8g6lVyoU97bLCixGfS5UOgAAAHo8B4unMGV1tSlGcOGqcGLCVbI9i6bX02VFRFRej4XRd8y+WzB0WTSNFjRWRbf8AqWEquv1XS7f3JjAHuMqGUGNjeegtgwVh0yFf7uGq6VVeN77aL24k0206dKnhwAOWVmIspMwZmXfwYzHI5rupyLdF/UsHBmJpPFlAl6pJOThKiJEZfSyJbS1f4XpSykcmWw3iSr4ZnvbKLOuhxF/EnG1ydTmrod/HQBZpxTczAk5aLMzcVGQGIrnOctkRqaVVV6CfYGXyvNl+DHpUu6N2k4aJ804S/wB0PG4vyg4ixc37qpzSNlOP7mGnBZfrVLqrvmq26AOLKLiX/uvFs7U4d/ZroyCi9EJuhPhfS63QrrHmgAM5gzE87hGvQarIIiqiK17F4nw1tdq9XEi36FRF9xvmUy44Tiyf30w2OyPbTD4F1v7lRbL8VsTUAPd5UMosfG8zBgwIKw6XCVVYxV/xOdxcN1tF7aERL2uulbnhAAAAAAG58y8b/LX9V8wMnlsybzVSmnYkoEBXx1RPaILdLlslke1OlbIiKiadCKnSaGc1WuVrks5ONC4jX2VejUuLSnTsSmwVm1veIsNqvtrWuBLoPuKiJFeicV1PgAAAAAAAAAAAAAAAAAAAABRORSjUqNS4c3FpkF001EVsRYbVci9aOtdAPGZIMmtQqlXlK5WZZYdLhKj2I9LLFemltk7KLZVcuheJL3VUo0AD/9k=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8391525" y="5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285750</xdr:colOff>
      <xdr:row>5</xdr:row>
      <xdr:rowOff>114300</xdr:rowOff>
    </xdr:from>
    <xdr:to>
      <xdr:col>1</xdr:col>
      <xdr:colOff>1018773</xdr:colOff>
      <xdr:row>6</xdr:row>
      <xdr:rowOff>166269</xdr:rowOff>
    </xdr:to>
    <xdr:pic>
      <xdr:nvPicPr>
        <xdr:cNvPr id="6" name="irc_mi" descr="http://sweetclipart.com/multisite/sweetclipart/files/smart_phone_icon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047750"/>
          <a:ext cx="733023" cy="1290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5</xdr:row>
      <xdr:rowOff>762000</xdr:rowOff>
    </xdr:from>
    <xdr:to>
      <xdr:col>5</xdr:col>
      <xdr:colOff>1724025</xdr:colOff>
      <xdr:row>5</xdr:row>
      <xdr:rowOff>1000125</xdr:rowOff>
    </xdr:to>
    <xdr:sp macro="" textlink="">
      <xdr:nvSpPr>
        <xdr:cNvPr id="12289" name="Text Box 1">
          <a:extLst>
            <a:ext uri="{FF2B5EF4-FFF2-40B4-BE49-F238E27FC236}">
              <a16:creationId xmlns:a16="http://schemas.microsoft.com/office/drawing/2014/main" id="{00000000-0008-0000-0400-000001300000}"/>
            </a:ext>
          </a:extLst>
        </xdr:cNvPr>
        <xdr:cNvSpPr txBox="1">
          <a:spLocks noChangeArrowheads="1"/>
        </xdr:cNvSpPr>
      </xdr:nvSpPr>
      <xdr:spPr bwMode="auto">
        <a:xfrm>
          <a:off x="2581275" y="1819275"/>
          <a:ext cx="3438525" cy="2381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/>
          <a:r>
            <a:rPr lang="en-US" sz="1100" b="0" i="1">
              <a:effectLst/>
              <a:latin typeface="+mn-lt"/>
              <a:ea typeface="+mn-ea"/>
              <a:cs typeface="+mn-cs"/>
            </a:rPr>
            <a:t>Employee Name Report</a:t>
          </a:r>
          <a:endParaRPr lang="en-US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1333500</xdr:colOff>
      <xdr:row>4</xdr:row>
      <xdr:rowOff>815916</xdr:rowOff>
    </xdr:from>
    <xdr:to>
      <xdr:col>4</xdr:col>
      <xdr:colOff>449293</xdr:colOff>
      <xdr:row>4</xdr:row>
      <xdr:rowOff>1054041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2019300" y="1663641"/>
          <a:ext cx="3478243" cy="2381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400" b="0" i="1" strike="noStrike">
              <a:solidFill>
                <a:srgbClr val="000000"/>
              </a:solidFill>
              <a:latin typeface="Book Antiqua"/>
            </a:rPr>
            <a:t>Sales</a:t>
          </a:r>
          <a:r>
            <a:rPr lang="en-US" sz="1400" b="0" i="1" strike="noStrike" baseline="0">
              <a:solidFill>
                <a:srgbClr val="000000"/>
              </a:solidFill>
              <a:latin typeface="Book Antiqua"/>
            </a:rPr>
            <a:t> Summary</a:t>
          </a:r>
          <a:endParaRPr lang="en-US" sz="1400" b="0" i="1" strike="noStrike">
            <a:solidFill>
              <a:srgbClr val="000000"/>
            </a:solidFill>
            <a:latin typeface="Book Antiqua"/>
          </a:endParaRPr>
        </a:p>
      </xdr:txBody>
    </xdr:sp>
    <xdr:clientData/>
  </xdr:twoCellAnchor>
  <xdr:twoCellAnchor editAs="oneCell">
    <xdr:from>
      <xdr:col>1</xdr:col>
      <xdr:colOff>233633</xdr:colOff>
      <xdr:row>4</xdr:row>
      <xdr:rowOff>89859</xdr:rowOff>
    </xdr:from>
    <xdr:to>
      <xdr:col>1</xdr:col>
      <xdr:colOff>966656</xdr:colOff>
      <xdr:row>5</xdr:row>
      <xdr:rowOff>140031</xdr:rowOff>
    </xdr:to>
    <xdr:pic>
      <xdr:nvPicPr>
        <xdr:cNvPr id="3" name="irc_mi" descr="http://sweetclipart.com/multisite/sweetclipart/files/smart_phone_icon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33" y="937584"/>
          <a:ext cx="733023" cy="1288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10</xdr:row>
      <xdr:rowOff>28575</xdr:rowOff>
    </xdr:from>
    <xdr:to>
      <xdr:col>4</xdr:col>
      <xdr:colOff>457200</xdr:colOff>
      <xdr:row>16</xdr:row>
      <xdr:rowOff>57150</xdr:rowOff>
    </xdr:to>
    <xdr:sp macro="" textlink="">
      <xdr:nvSpPr>
        <xdr:cNvPr id="16385" name="Text Box 1">
          <a:extLst>
            <a:ext uri="{FF2B5EF4-FFF2-40B4-BE49-F238E27FC236}">
              <a16:creationId xmlns:a16="http://schemas.microsoft.com/office/drawing/2014/main" id="{00000000-0008-0000-0600-000001400000}"/>
            </a:ext>
          </a:extLst>
        </xdr:cNvPr>
        <xdr:cNvSpPr txBox="1">
          <a:spLocks noChangeArrowheads="1"/>
        </xdr:cNvSpPr>
      </xdr:nvSpPr>
      <xdr:spPr bwMode="auto">
        <a:xfrm>
          <a:off x="885825" y="1743075"/>
          <a:ext cx="2085975" cy="1000125"/>
        </a:xfrm>
        <a:prstGeom prst="rect">
          <a:avLst/>
        </a:prstGeom>
        <a:solidFill>
          <a:srgbClr val="CFDFD3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91440" rIns="91440" bIns="9144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Monthly Returns on Philip Morris stock in the 83 months from 1990 to mid-1997. The minimum return is -26.6 and the maximum return is 19.2.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44</xdr:row>
      <xdr:rowOff>0</xdr:rowOff>
    </xdr:from>
    <xdr:to>
      <xdr:col>1</xdr:col>
      <xdr:colOff>523875</xdr:colOff>
      <xdr:row>44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rrowheads="1"/>
        </xdr:cNvSpPr>
      </xdr:nvSpPr>
      <xdr:spPr bwMode="auto">
        <a:xfrm>
          <a:off x="1000125" y="5391150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390525</xdr:colOff>
      <xdr:row>27</xdr:row>
      <xdr:rowOff>0</xdr:rowOff>
    </xdr:from>
    <xdr:to>
      <xdr:col>1</xdr:col>
      <xdr:colOff>523875</xdr:colOff>
      <xdr:row>27</xdr:row>
      <xdr:rowOff>133350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>
          <a:spLocks noChangeArrowheads="1"/>
        </xdr:cNvSpPr>
      </xdr:nvSpPr>
      <xdr:spPr bwMode="auto">
        <a:xfrm>
          <a:off x="1000125" y="4581525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390525</xdr:colOff>
      <xdr:row>22</xdr:row>
      <xdr:rowOff>0</xdr:rowOff>
    </xdr:from>
    <xdr:to>
      <xdr:col>1</xdr:col>
      <xdr:colOff>523875</xdr:colOff>
      <xdr:row>22</xdr:row>
      <xdr:rowOff>133350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 noChangeArrowheads="1"/>
        </xdr:cNvSpPr>
      </xdr:nvSpPr>
      <xdr:spPr bwMode="auto">
        <a:xfrm>
          <a:off x="1000125" y="3771900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390525</xdr:colOff>
      <xdr:row>18</xdr:row>
      <xdr:rowOff>0</xdr:rowOff>
    </xdr:from>
    <xdr:to>
      <xdr:col>1</xdr:col>
      <xdr:colOff>523875</xdr:colOff>
      <xdr:row>18</xdr:row>
      <xdr:rowOff>133350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>
          <a:spLocks noChangeArrowheads="1"/>
        </xdr:cNvSpPr>
      </xdr:nvSpPr>
      <xdr:spPr bwMode="auto">
        <a:xfrm>
          <a:off x="1000125" y="3124200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390525</xdr:colOff>
      <xdr:row>14</xdr:row>
      <xdr:rowOff>0</xdr:rowOff>
    </xdr:from>
    <xdr:to>
      <xdr:col>1</xdr:col>
      <xdr:colOff>523875</xdr:colOff>
      <xdr:row>14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>
          <a:spLocks noChangeArrowheads="1"/>
        </xdr:cNvSpPr>
      </xdr:nvSpPr>
      <xdr:spPr bwMode="auto">
        <a:xfrm>
          <a:off x="1000125" y="2476500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390525</xdr:colOff>
      <xdr:row>7</xdr:row>
      <xdr:rowOff>0</xdr:rowOff>
    </xdr:from>
    <xdr:to>
      <xdr:col>1</xdr:col>
      <xdr:colOff>523875</xdr:colOff>
      <xdr:row>7</xdr:row>
      <xdr:rowOff>133350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>
          <a:spLocks noChangeArrowheads="1"/>
        </xdr:cNvSpPr>
      </xdr:nvSpPr>
      <xdr:spPr bwMode="auto">
        <a:xfrm>
          <a:off x="1000125" y="1343025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400050</xdr:colOff>
      <xdr:row>38</xdr:row>
      <xdr:rowOff>9525</xdr:rowOff>
    </xdr:from>
    <xdr:to>
      <xdr:col>1</xdr:col>
      <xdr:colOff>533400</xdr:colOff>
      <xdr:row>38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>
          <a:spLocks noChangeArrowheads="1"/>
        </xdr:cNvSpPr>
      </xdr:nvSpPr>
      <xdr:spPr bwMode="auto">
        <a:xfrm>
          <a:off x="1085850" y="6572250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409575</xdr:colOff>
      <xdr:row>33</xdr:row>
      <xdr:rowOff>0</xdr:rowOff>
    </xdr:from>
    <xdr:to>
      <xdr:col>1</xdr:col>
      <xdr:colOff>542925</xdr:colOff>
      <xdr:row>33</xdr:row>
      <xdr:rowOff>133350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>
          <a:spLocks noChangeArrowheads="1"/>
        </xdr:cNvSpPr>
      </xdr:nvSpPr>
      <xdr:spPr bwMode="auto">
        <a:xfrm>
          <a:off x="1095375" y="5591175"/>
          <a:ext cx="133350" cy="133350"/>
        </a:xfrm>
        <a:prstGeom prst="rect">
          <a:avLst/>
        </a:prstGeom>
        <a:solidFill>
          <a:srgbClr val="333399"/>
        </a:solidFill>
        <a:ln w="9525">
          <a:solidFill>
            <a:srgbClr val="333399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62"/>
  </sheetPr>
  <dimension ref="B4:C31"/>
  <sheetViews>
    <sheetView showGridLines="0" workbookViewId="0">
      <selection activeCell="D48" sqref="D48"/>
    </sheetView>
  </sheetViews>
  <sheetFormatPr defaultColWidth="9" defaultRowHeight="15" x14ac:dyDescent="0.25"/>
  <cols>
    <col min="1" max="1" width="9" style="38"/>
    <col min="2" max="2" width="6.796875" style="38" customWidth="1"/>
    <col min="3" max="16384" width="9" style="38"/>
  </cols>
  <sheetData>
    <row r="4" spans="2:3" ht="17.399999999999999" x14ac:dyDescent="0.3">
      <c r="B4" s="152"/>
    </row>
    <row r="5" spans="2:3" ht="17.399999999999999" x14ac:dyDescent="0.3">
      <c r="B5" s="120"/>
    </row>
    <row r="6" spans="2:3" ht="17.399999999999999" x14ac:dyDescent="0.3">
      <c r="B6" s="121" t="s">
        <v>215</v>
      </c>
    </row>
    <row r="7" spans="2:3" ht="17.399999999999999" x14ac:dyDescent="0.3">
      <c r="B7" s="37"/>
    </row>
    <row r="9" spans="2:3" ht="15.6" x14ac:dyDescent="0.3">
      <c r="B9" s="39" t="s">
        <v>79</v>
      </c>
    </row>
    <row r="10" spans="2:3" x14ac:dyDescent="0.25">
      <c r="C10" s="33" t="s">
        <v>108</v>
      </c>
    </row>
    <row r="11" spans="2:3" ht="15.6" x14ac:dyDescent="0.3">
      <c r="C11" s="33" t="s">
        <v>115</v>
      </c>
    </row>
    <row r="12" spans="2:3" x14ac:dyDescent="0.25">
      <c r="C12" s="33" t="s">
        <v>109</v>
      </c>
    </row>
    <row r="13" spans="2:3" x14ac:dyDescent="0.25">
      <c r="C13" s="33" t="s">
        <v>110</v>
      </c>
    </row>
    <row r="14" spans="2:3" x14ac:dyDescent="0.25">
      <c r="C14" s="38" t="s">
        <v>117</v>
      </c>
    </row>
    <row r="15" spans="2:3" x14ac:dyDescent="0.25">
      <c r="C15" s="33" t="s">
        <v>129</v>
      </c>
    </row>
    <row r="16" spans="2:3" x14ac:dyDescent="0.25">
      <c r="C16" s="74" t="s">
        <v>171</v>
      </c>
    </row>
    <row r="17" spans="2:3" x14ac:dyDescent="0.25">
      <c r="C17" s="74" t="s">
        <v>222</v>
      </c>
    </row>
    <row r="18" spans="2:3" x14ac:dyDescent="0.25">
      <c r="C18" s="74" t="s">
        <v>172</v>
      </c>
    </row>
    <row r="19" spans="2:3" x14ac:dyDescent="0.25">
      <c r="C19" s="33"/>
    </row>
    <row r="20" spans="2:3" ht="16.2" x14ac:dyDescent="0.35">
      <c r="C20" s="75" t="s">
        <v>134</v>
      </c>
    </row>
    <row r="24" spans="2:3" ht="15.6" x14ac:dyDescent="0.3">
      <c r="B24" s="40"/>
    </row>
    <row r="31" spans="2:3" x14ac:dyDescent="0.25">
      <c r="B31" s="61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J223"/>
  <sheetViews>
    <sheetView showGridLines="0" tabSelected="1" workbookViewId="0"/>
  </sheetViews>
  <sheetFormatPr defaultColWidth="9" defaultRowHeight="14.4" x14ac:dyDescent="0.3"/>
  <cols>
    <col min="1" max="1" width="9" style="3"/>
    <col min="2" max="2" width="9.5" style="3" customWidth="1"/>
    <col min="3" max="3" width="10.09765625" style="3" customWidth="1"/>
    <col min="4" max="4" width="10.796875" style="3" customWidth="1"/>
    <col min="5" max="5" width="12" style="3" bestFit="1" customWidth="1"/>
    <col min="6" max="6" width="11.09765625" style="3" customWidth="1"/>
    <col min="7" max="7" width="9.796875" style="3" customWidth="1"/>
    <col min="8" max="8" width="10.59765625" style="3" customWidth="1"/>
    <col min="9" max="9" width="10.796875" style="3" customWidth="1"/>
    <col min="10" max="10" width="11.09765625" style="3" customWidth="1"/>
    <col min="11" max="16384" width="9" style="3"/>
  </cols>
  <sheetData>
    <row r="2" spans="2:10" x14ac:dyDescent="0.3">
      <c r="B2" s="36"/>
    </row>
    <row r="3" spans="2:10" x14ac:dyDescent="0.3">
      <c r="B3" s="36" t="s">
        <v>112</v>
      </c>
    </row>
    <row r="4" spans="2:10" ht="22.2" x14ac:dyDescent="0.45">
      <c r="C4" s="15"/>
      <c r="D4" s="15"/>
    </row>
    <row r="5" spans="2:10" ht="16.2" x14ac:dyDescent="0.35">
      <c r="C5" s="14"/>
      <c r="D5" s="14"/>
      <c r="F5" s="16"/>
    </row>
    <row r="6" spans="2:10" ht="21" x14ac:dyDescent="0.4">
      <c r="B6" s="26" t="s">
        <v>216</v>
      </c>
    </row>
    <row r="7" spans="2:10" ht="15.6" x14ac:dyDescent="0.3">
      <c r="B7" s="27" t="s">
        <v>132</v>
      </c>
    </row>
    <row r="9" spans="2:10" ht="35.25" customHeight="1" x14ac:dyDescent="0.3">
      <c r="B9" s="63" t="s">
        <v>5</v>
      </c>
      <c r="C9" s="63" t="s">
        <v>48</v>
      </c>
      <c r="D9" s="63" t="s">
        <v>50</v>
      </c>
      <c r="E9" s="64" t="s">
        <v>0</v>
      </c>
      <c r="F9" s="64" t="s">
        <v>1</v>
      </c>
      <c r="G9" s="64" t="s">
        <v>2</v>
      </c>
      <c r="H9" s="63" t="s">
        <v>4</v>
      </c>
      <c r="I9" s="64" t="s">
        <v>49</v>
      </c>
      <c r="J9" s="63" t="s">
        <v>3</v>
      </c>
    </row>
    <row r="10" spans="2:10" x14ac:dyDescent="0.3">
      <c r="B10" s="23">
        <v>1</v>
      </c>
      <c r="C10" s="22" t="s">
        <v>53</v>
      </c>
      <c r="D10" s="22" t="s">
        <v>68</v>
      </c>
      <c r="E10" s="24">
        <v>41456</v>
      </c>
      <c r="F10" s="32">
        <v>0.375</v>
      </c>
      <c r="G10" s="32">
        <v>0.70833333333333337</v>
      </c>
      <c r="H10" s="168"/>
      <c r="I10" s="169"/>
      <c r="J10" s="170"/>
    </row>
    <row r="11" spans="2:10" x14ac:dyDescent="0.3">
      <c r="B11" s="23">
        <v>2</v>
      </c>
      <c r="C11" s="22" t="s">
        <v>54</v>
      </c>
      <c r="D11" s="22" t="s">
        <v>76</v>
      </c>
      <c r="E11" s="24">
        <v>41462</v>
      </c>
      <c r="F11" s="32">
        <v>0.35416666666666669</v>
      </c>
      <c r="G11" s="32">
        <v>0.6875</v>
      </c>
      <c r="H11" s="168"/>
      <c r="I11" s="169"/>
      <c r="J11" s="170"/>
    </row>
    <row r="12" spans="2:10" x14ac:dyDescent="0.3">
      <c r="B12" s="23">
        <v>2</v>
      </c>
      <c r="C12" s="22" t="s">
        <v>54</v>
      </c>
      <c r="D12" s="22" t="s">
        <v>74</v>
      </c>
      <c r="E12" s="24">
        <v>41461</v>
      </c>
      <c r="F12" s="32">
        <v>0.35416666666666669</v>
      </c>
      <c r="G12" s="32">
        <v>0.6875</v>
      </c>
      <c r="H12" s="168"/>
      <c r="I12" s="169"/>
      <c r="J12" s="170"/>
    </row>
    <row r="13" spans="2:10" x14ac:dyDescent="0.3">
      <c r="B13" s="23">
        <v>3</v>
      </c>
      <c r="C13" s="22" t="s">
        <v>55</v>
      </c>
      <c r="D13" s="22" t="s">
        <v>70</v>
      </c>
      <c r="E13" s="24">
        <v>41462</v>
      </c>
      <c r="F13" s="32">
        <v>0.35416666666666702</v>
      </c>
      <c r="G13" s="32">
        <v>0.6875</v>
      </c>
      <c r="H13" s="168"/>
      <c r="I13" s="169"/>
      <c r="J13" s="170"/>
    </row>
    <row r="14" spans="2:10" x14ac:dyDescent="0.3">
      <c r="B14" s="23">
        <v>3</v>
      </c>
      <c r="C14" s="22" t="s">
        <v>55</v>
      </c>
      <c r="D14" s="22" t="s">
        <v>72</v>
      </c>
      <c r="E14" s="24">
        <v>41461</v>
      </c>
      <c r="F14" s="32">
        <v>0.35416666666666702</v>
      </c>
      <c r="G14" s="32">
        <v>0.6875</v>
      </c>
      <c r="H14" s="168"/>
      <c r="I14" s="169"/>
      <c r="J14" s="170"/>
    </row>
    <row r="15" spans="2:10" x14ac:dyDescent="0.3">
      <c r="B15" s="23">
        <v>4</v>
      </c>
      <c r="C15" s="22" t="s">
        <v>55</v>
      </c>
      <c r="D15" s="22" t="s">
        <v>75</v>
      </c>
      <c r="E15" s="24">
        <v>41467</v>
      </c>
      <c r="F15" s="32">
        <v>0.35416666666666702</v>
      </c>
      <c r="G15" s="32">
        <v>0.6875</v>
      </c>
      <c r="H15" s="168"/>
      <c r="I15" s="169"/>
      <c r="J15" s="170"/>
    </row>
    <row r="16" spans="2:10" x14ac:dyDescent="0.3">
      <c r="B16" s="23">
        <v>4</v>
      </c>
      <c r="C16" s="22" t="s">
        <v>55</v>
      </c>
      <c r="D16" s="22" t="s">
        <v>73</v>
      </c>
      <c r="E16" s="24">
        <v>41468</v>
      </c>
      <c r="F16" s="32">
        <v>0.35416666666666702</v>
      </c>
      <c r="G16" s="32">
        <v>0.70833333333333337</v>
      </c>
      <c r="H16" s="168"/>
      <c r="I16" s="169"/>
      <c r="J16" s="170"/>
    </row>
    <row r="17" spans="2:10" x14ac:dyDescent="0.3">
      <c r="B17" s="23">
        <v>4</v>
      </c>
      <c r="C17" s="22" t="s">
        <v>55</v>
      </c>
      <c r="D17" s="22" t="s">
        <v>68</v>
      </c>
      <c r="E17" s="24">
        <v>41469</v>
      </c>
      <c r="F17" s="32">
        <v>0.35416666666666702</v>
      </c>
      <c r="G17" s="32">
        <v>0.70833333333333337</v>
      </c>
      <c r="H17" s="168"/>
      <c r="I17" s="169"/>
      <c r="J17" s="170"/>
    </row>
    <row r="18" spans="2:10" x14ac:dyDescent="0.3">
      <c r="B18" s="23">
        <v>4</v>
      </c>
      <c r="C18" s="22" t="s">
        <v>55</v>
      </c>
      <c r="D18" s="22" t="s">
        <v>76</v>
      </c>
      <c r="E18" s="24">
        <v>41472</v>
      </c>
      <c r="F18" s="32">
        <v>0.45833333333333331</v>
      </c>
      <c r="G18" s="32">
        <v>0.6875</v>
      </c>
      <c r="H18" s="168"/>
      <c r="I18" s="169"/>
      <c r="J18" s="170"/>
    </row>
    <row r="19" spans="2:10" x14ac:dyDescent="0.3">
      <c r="B19" s="23">
        <v>4</v>
      </c>
      <c r="C19" s="22" t="s">
        <v>55</v>
      </c>
      <c r="D19" s="22" t="s">
        <v>74</v>
      </c>
      <c r="E19" s="24">
        <v>41472</v>
      </c>
      <c r="F19" s="32">
        <v>0.35416666666666702</v>
      </c>
      <c r="G19" s="32">
        <v>0.75</v>
      </c>
      <c r="H19" s="168"/>
      <c r="I19" s="169"/>
      <c r="J19" s="170"/>
    </row>
    <row r="20" spans="2:10" x14ac:dyDescent="0.3">
      <c r="B20" s="23">
        <v>5</v>
      </c>
      <c r="C20" s="22" t="s">
        <v>53</v>
      </c>
      <c r="D20" s="22" t="s">
        <v>70</v>
      </c>
      <c r="E20" s="24">
        <v>41465</v>
      </c>
      <c r="F20" s="32">
        <v>0.4375</v>
      </c>
      <c r="G20" s="32">
        <v>0.75</v>
      </c>
      <c r="H20" s="168"/>
      <c r="I20" s="169"/>
      <c r="J20" s="170"/>
    </row>
    <row r="21" spans="2:10" x14ac:dyDescent="0.3">
      <c r="B21" s="23">
        <v>5</v>
      </c>
      <c r="C21" s="22" t="s">
        <v>53</v>
      </c>
      <c r="D21" s="22" t="s">
        <v>72</v>
      </c>
      <c r="E21" s="24">
        <v>41466</v>
      </c>
      <c r="F21" s="32">
        <v>0.35416666666666669</v>
      </c>
      <c r="G21" s="32">
        <v>0.70833333333333337</v>
      </c>
      <c r="H21" s="168"/>
      <c r="I21" s="169"/>
      <c r="J21" s="170"/>
    </row>
    <row r="22" spans="2:10" x14ac:dyDescent="0.3">
      <c r="B22" s="23">
        <v>6</v>
      </c>
      <c r="C22" s="22" t="s">
        <v>55</v>
      </c>
      <c r="D22" s="22" t="s">
        <v>75</v>
      </c>
      <c r="E22" s="24">
        <v>41472</v>
      </c>
      <c r="F22" s="32">
        <v>0.35416666666666669</v>
      </c>
      <c r="G22" s="32">
        <v>0.72916666666666663</v>
      </c>
      <c r="H22" s="168"/>
      <c r="I22" s="169"/>
      <c r="J22" s="170"/>
    </row>
    <row r="23" spans="2:10" x14ac:dyDescent="0.3">
      <c r="B23" s="23">
        <v>6</v>
      </c>
      <c r="C23" s="22" t="s">
        <v>55</v>
      </c>
      <c r="D23" s="22" t="s">
        <v>73</v>
      </c>
      <c r="E23" s="24">
        <v>41472</v>
      </c>
      <c r="F23" s="32">
        <v>0.35416666666666702</v>
      </c>
      <c r="G23" s="32">
        <v>0.75</v>
      </c>
      <c r="H23" s="168"/>
      <c r="I23" s="169"/>
      <c r="J23" s="170"/>
    </row>
    <row r="24" spans="2:10" x14ac:dyDescent="0.3">
      <c r="B24" s="23">
        <v>7</v>
      </c>
      <c r="C24" s="22" t="s">
        <v>54</v>
      </c>
      <c r="D24" s="22" t="s">
        <v>69</v>
      </c>
      <c r="E24" s="24">
        <v>41466</v>
      </c>
      <c r="F24" s="32">
        <v>0.35416666666666702</v>
      </c>
      <c r="G24" s="32">
        <v>0.58333333333333337</v>
      </c>
      <c r="H24" s="168"/>
      <c r="I24" s="169"/>
      <c r="J24" s="170"/>
    </row>
    <row r="25" spans="2:10" x14ac:dyDescent="0.3">
      <c r="B25" s="23">
        <v>7</v>
      </c>
      <c r="C25" s="22" t="s">
        <v>54</v>
      </c>
      <c r="D25" s="22" t="s">
        <v>71</v>
      </c>
      <c r="E25" s="24">
        <v>41467</v>
      </c>
      <c r="F25" s="32">
        <v>0.35416666666666702</v>
      </c>
      <c r="G25" s="32">
        <v>0.61458333333333337</v>
      </c>
      <c r="H25" s="168"/>
      <c r="I25" s="169"/>
      <c r="J25" s="170"/>
    </row>
    <row r="26" spans="2:10" x14ac:dyDescent="0.3">
      <c r="B26" s="23">
        <v>8</v>
      </c>
      <c r="C26" s="22" t="s">
        <v>54</v>
      </c>
      <c r="D26" s="22" t="s">
        <v>67</v>
      </c>
      <c r="E26" s="24">
        <v>41466</v>
      </c>
      <c r="F26" s="32">
        <v>0.54166666666666663</v>
      </c>
      <c r="G26" s="32">
        <v>0.70833333333333337</v>
      </c>
      <c r="H26" s="168"/>
      <c r="I26" s="169"/>
      <c r="J26" s="170"/>
    </row>
    <row r="27" spans="2:10" x14ac:dyDescent="0.3">
      <c r="B27" s="23">
        <v>8</v>
      </c>
      <c r="C27" s="22" t="s">
        <v>54</v>
      </c>
      <c r="D27" s="22" t="s">
        <v>69</v>
      </c>
      <c r="E27" s="24">
        <v>41467</v>
      </c>
      <c r="F27" s="32">
        <v>0.375</v>
      </c>
      <c r="G27" s="32">
        <v>0.73958333333333337</v>
      </c>
      <c r="H27" s="168"/>
      <c r="I27" s="169"/>
      <c r="J27" s="170"/>
    </row>
    <row r="28" spans="2:10" x14ac:dyDescent="0.3">
      <c r="B28" s="23">
        <v>9</v>
      </c>
      <c r="C28" s="22" t="s">
        <v>53</v>
      </c>
      <c r="D28" s="22" t="s">
        <v>71</v>
      </c>
      <c r="E28" s="24">
        <v>41472</v>
      </c>
      <c r="F28" s="32">
        <v>0.41666666666666669</v>
      </c>
      <c r="G28" s="32">
        <v>0.75</v>
      </c>
      <c r="H28" s="168"/>
      <c r="I28" s="169"/>
      <c r="J28" s="170"/>
    </row>
    <row r="29" spans="2:10" x14ac:dyDescent="0.3">
      <c r="B29" s="23">
        <v>9</v>
      </c>
      <c r="C29" s="22" t="s">
        <v>53</v>
      </c>
      <c r="D29" s="22" t="s">
        <v>70</v>
      </c>
      <c r="E29" s="24">
        <v>41471</v>
      </c>
      <c r="F29" s="32">
        <v>0.35416666666666669</v>
      </c>
      <c r="G29" s="32">
        <v>0.625</v>
      </c>
      <c r="H29" s="168"/>
      <c r="I29" s="169"/>
      <c r="J29" s="170"/>
    </row>
    <row r="30" spans="2:10" x14ac:dyDescent="0.3">
      <c r="B30" s="23">
        <v>10</v>
      </c>
      <c r="C30" s="22" t="s">
        <v>55</v>
      </c>
      <c r="D30" s="22" t="s">
        <v>72</v>
      </c>
      <c r="E30" s="24">
        <v>41473</v>
      </c>
      <c r="F30" s="32">
        <v>0.35416666666666669</v>
      </c>
      <c r="G30" s="32">
        <v>0.66666666666666663</v>
      </c>
      <c r="H30" s="168"/>
      <c r="I30" s="169"/>
      <c r="J30" s="170"/>
    </row>
    <row r="31" spans="2:10" x14ac:dyDescent="0.3">
      <c r="B31" s="23">
        <v>10</v>
      </c>
      <c r="C31" s="22" t="s">
        <v>55</v>
      </c>
      <c r="D31" s="22" t="s">
        <v>75</v>
      </c>
      <c r="E31" s="24">
        <v>41474</v>
      </c>
      <c r="F31" s="32">
        <v>0.41666666666666669</v>
      </c>
      <c r="G31" s="32">
        <v>0.5</v>
      </c>
      <c r="H31" s="168"/>
      <c r="I31" s="169"/>
      <c r="J31" s="170"/>
    </row>
    <row r="32" spans="2:10" x14ac:dyDescent="0.3">
      <c r="B32" s="23">
        <v>11</v>
      </c>
      <c r="C32" s="22" t="s">
        <v>53</v>
      </c>
      <c r="D32" s="22" t="s">
        <v>73</v>
      </c>
      <c r="E32" s="24">
        <v>41467</v>
      </c>
      <c r="F32" s="32">
        <v>0.33333333333333331</v>
      </c>
      <c r="G32" s="32">
        <v>0.5</v>
      </c>
      <c r="H32" s="168"/>
      <c r="I32" s="169"/>
      <c r="J32" s="170"/>
    </row>
    <row r="33" spans="2:10" x14ac:dyDescent="0.3">
      <c r="B33" s="23">
        <v>11</v>
      </c>
      <c r="C33" s="22" t="s">
        <v>53</v>
      </c>
      <c r="D33" s="22" t="s">
        <v>69</v>
      </c>
      <c r="E33" s="24">
        <v>41469</v>
      </c>
      <c r="F33" s="32">
        <v>0.375</v>
      </c>
      <c r="G33" s="32">
        <v>0.75</v>
      </c>
      <c r="H33" s="168"/>
      <c r="I33" s="169"/>
      <c r="J33" s="170"/>
    </row>
    <row r="34" spans="2:10" x14ac:dyDescent="0.3">
      <c r="B34" s="23">
        <v>11</v>
      </c>
      <c r="C34" s="22" t="s">
        <v>53</v>
      </c>
      <c r="D34" s="22" t="s">
        <v>74</v>
      </c>
      <c r="E34" s="24">
        <v>41472</v>
      </c>
      <c r="F34" s="32">
        <v>0.36458333333333331</v>
      </c>
      <c r="G34" s="32">
        <v>0.70833333333333337</v>
      </c>
      <c r="H34" s="168"/>
      <c r="I34" s="169"/>
      <c r="J34" s="170"/>
    </row>
    <row r="35" spans="2:10" x14ac:dyDescent="0.3">
      <c r="B35" s="23">
        <v>11</v>
      </c>
      <c r="C35" s="22" t="s">
        <v>53</v>
      </c>
      <c r="D35" s="22" t="s">
        <v>70</v>
      </c>
      <c r="E35" s="24">
        <v>41473</v>
      </c>
      <c r="F35" s="32">
        <v>0.29166666666666669</v>
      </c>
      <c r="G35" s="32">
        <v>0.70833333333333337</v>
      </c>
      <c r="H35" s="168"/>
      <c r="I35" s="169"/>
      <c r="J35" s="170"/>
    </row>
    <row r="36" spans="2:10" x14ac:dyDescent="0.3">
      <c r="B36" s="23">
        <v>11</v>
      </c>
      <c r="C36" s="22" t="s">
        <v>53</v>
      </c>
      <c r="D36" s="22" t="s">
        <v>72</v>
      </c>
      <c r="E36" s="24">
        <v>41476</v>
      </c>
      <c r="F36" s="32">
        <v>0.45833333333333331</v>
      </c>
      <c r="G36" s="32">
        <v>0.58333333333333337</v>
      </c>
      <c r="H36" s="168"/>
      <c r="I36" s="169"/>
      <c r="J36" s="170"/>
    </row>
    <row r="37" spans="2:10" x14ac:dyDescent="0.3">
      <c r="B37" s="23">
        <v>12</v>
      </c>
      <c r="C37" s="22" t="s">
        <v>54</v>
      </c>
      <c r="D37" s="22" t="s">
        <v>75</v>
      </c>
      <c r="E37" s="24">
        <v>41475</v>
      </c>
      <c r="F37" s="32">
        <v>0.4375</v>
      </c>
      <c r="G37" s="32">
        <v>0.66666666666666663</v>
      </c>
      <c r="H37" s="168"/>
      <c r="I37" s="169"/>
      <c r="J37" s="170"/>
    </row>
    <row r="38" spans="2:10" x14ac:dyDescent="0.3">
      <c r="B38" s="23">
        <v>12</v>
      </c>
      <c r="C38" s="22" t="s">
        <v>54</v>
      </c>
      <c r="D38" s="22" t="s">
        <v>73</v>
      </c>
      <c r="E38" s="24">
        <v>41477</v>
      </c>
      <c r="F38" s="32">
        <v>0.35416666666666669</v>
      </c>
      <c r="G38" s="32">
        <v>0.6875</v>
      </c>
      <c r="H38" s="168"/>
      <c r="I38" s="169"/>
      <c r="J38" s="170"/>
    </row>
    <row r="39" spans="2:10" x14ac:dyDescent="0.3">
      <c r="B39" s="23">
        <v>13</v>
      </c>
      <c r="C39" s="22" t="s">
        <v>54</v>
      </c>
      <c r="D39" s="22" t="s">
        <v>70</v>
      </c>
      <c r="E39" s="24">
        <v>41472</v>
      </c>
      <c r="F39" s="32">
        <v>0.35416666666666669</v>
      </c>
      <c r="G39" s="32">
        <v>0.73958333333333337</v>
      </c>
      <c r="H39" s="168"/>
      <c r="I39" s="169"/>
      <c r="J39" s="170"/>
    </row>
    <row r="40" spans="2:10" x14ac:dyDescent="0.3">
      <c r="B40" s="23">
        <v>14</v>
      </c>
      <c r="C40" s="22" t="s">
        <v>55</v>
      </c>
      <c r="D40" s="22" t="s">
        <v>72</v>
      </c>
      <c r="E40" s="24">
        <v>41467</v>
      </c>
      <c r="F40" s="32">
        <v>0.35416666666666702</v>
      </c>
      <c r="G40" s="32">
        <v>0.75</v>
      </c>
      <c r="H40" s="168"/>
      <c r="I40" s="169"/>
      <c r="J40" s="170"/>
    </row>
    <row r="41" spans="2:10" x14ac:dyDescent="0.3">
      <c r="B41" s="23">
        <v>14</v>
      </c>
      <c r="C41" s="22" t="s">
        <v>55</v>
      </c>
      <c r="D41" s="22" t="s">
        <v>75</v>
      </c>
      <c r="E41" s="24">
        <v>41468</v>
      </c>
      <c r="F41" s="32">
        <v>0.35416666666666702</v>
      </c>
      <c r="G41" s="32">
        <v>0.83333333333333337</v>
      </c>
      <c r="H41" s="168"/>
      <c r="I41" s="169"/>
      <c r="J41" s="170"/>
    </row>
    <row r="42" spans="2:10" x14ac:dyDescent="0.3">
      <c r="B42" s="23">
        <v>14</v>
      </c>
      <c r="C42" s="22" t="s">
        <v>55</v>
      </c>
      <c r="D42" s="22" t="s">
        <v>73</v>
      </c>
      <c r="E42" s="24">
        <v>41472</v>
      </c>
      <c r="F42" s="32">
        <v>0.375</v>
      </c>
      <c r="G42" s="32">
        <v>0.70833333333333337</v>
      </c>
      <c r="H42" s="168"/>
      <c r="I42" s="169"/>
      <c r="J42" s="170"/>
    </row>
    <row r="43" spans="2:10" x14ac:dyDescent="0.3">
      <c r="B43" s="23">
        <v>14</v>
      </c>
      <c r="C43" s="22" t="s">
        <v>55</v>
      </c>
      <c r="D43" s="22" t="s">
        <v>69</v>
      </c>
      <c r="E43" s="24">
        <v>41473</v>
      </c>
      <c r="F43" s="32">
        <v>0.41666666666666702</v>
      </c>
      <c r="G43" s="32">
        <v>0.75</v>
      </c>
      <c r="H43" s="168"/>
      <c r="I43" s="169"/>
      <c r="J43" s="170"/>
    </row>
    <row r="44" spans="2:10" x14ac:dyDescent="0.3">
      <c r="B44" s="23">
        <v>14</v>
      </c>
      <c r="C44" s="22" t="s">
        <v>55</v>
      </c>
      <c r="D44" s="22" t="s">
        <v>70</v>
      </c>
      <c r="E44" s="24">
        <v>41477</v>
      </c>
      <c r="F44" s="32">
        <v>0.45833333333333298</v>
      </c>
      <c r="G44" s="32">
        <v>0.625</v>
      </c>
      <c r="H44" s="168"/>
      <c r="I44" s="169"/>
      <c r="J44" s="170"/>
    </row>
    <row r="45" spans="2:10" x14ac:dyDescent="0.3">
      <c r="B45" s="23">
        <v>14</v>
      </c>
      <c r="C45" s="22" t="s">
        <v>55</v>
      </c>
      <c r="D45" s="22" t="s">
        <v>72</v>
      </c>
      <c r="E45" s="24">
        <v>41483</v>
      </c>
      <c r="F45" s="32">
        <v>0.33333333333333331</v>
      </c>
      <c r="G45" s="32">
        <v>0.66666666666666663</v>
      </c>
      <c r="H45" s="168"/>
      <c r="I45" s="169"/>
      <c r="J45" s="170"/>
    </row>
    <row r="46" spans="2:10" x14ac:dyDescent="0.3">
      <c r="B46" s="23">
        <v>15</v>
      </c>
      <c r="C46" s="22" t="s">
        <v>53</v>
      </c>
      <c r="D46" s="22" t="s">
        <v>75</v>
      </c>
      <c r="E46" s="24">
        <v>41469</v>
      </c>
      <c r="F46" s="32">
        <v>0.35416666666666702</v>
      </c>
      <c r="G46" s="32">
        <v>0.75</v>
      </c>
      <c r="H46" s="168"/>
      <c r="I46" s="169"/>
      <c r="J46" s="170"/>
    </row>
    <row r="47" spans="2:10" x14ac:dyDescent="0.3">
      <c r="B47" s="23">
        <v>15</v>
      </c>
      <c r="C47" s="22" t="s">
        <v>53</v>
      </c>
      <c r="D47" s="22" t="s">
        <v>73</v>
      </c>
      <c r="E47" s="24">
        <v>41472</v>
      </c>
      <c r="F47" s="32">
        <v>0.54166666666666663</v>
      </c>
      <c r="G47" s="32">
        <v>0.79166666666666663</v>
      </c>
      <c r="H47" s="168"/>
      <c r="I47" s="169"/>
      <c r="J47" s="170"/>
    </row>
    <row r="48" spans="2:10" x14ac:dyDescent="0.3">
      <c r="B48" s="23">
        <v>16</v>
      </c>
      <c r="C48" s="22" t="s">
        <v>53</v>
      </c>
      <c r="D48" s="22" t="s">
        <v>69</v>
      </c>
      <c r="E48" s="24">
        <v>41473</v>
      </c>
      <c r="F48" s="32">
        <v>0.375</v>
      </c>
      <c r="G48" s="32">
        <v>0.66666666666666663</v>
      </c>
      <c r="H48" s="168"/>
      <c r="I48" s="169"/>
      <c r="J48" s="170"/>
    </row>
    <row r="49" spans="2:10" x14ac:dyDescent="0.3">
      <c r="B49" s="23">
        <v>16</v>
      </c>
      <c r="C49" s="22" t="s">
        <v>53</v>
      </c>
      <c r="D49" s="22" t="s">
        <v>68</v>
      </c>
      <c r="E49" s="24">
        <v>41474</v>
      </c>
      <c r="F49" s="32">
        <v>0.41666666666666669</v>
      </c>
      <c r="G49" s="32">
        <v>0.625</v>
      </c>
      <c r="H49" s="168"/>
      <c r="I49" s="169"/>
      <c r="J49" s="170"/>
    </row>
    <row r="50" spans="2:10" x14ac:dyDescent="0.3">
      <c r="B50" s="23">
        <v>17</v>
      </c>
      <c r="C50" s="22" t="s">
        <v>54</v>
      </c>
      <c r="D50" s="22" t="s">
        <v>76</v>
      </c>
      <c r="E50" s="24">
        <v>41461</v>
      </c>
      <c r="F50" s="32">
        <v>0.35416666666666669</v>
      </c>
      <c r="G50" s="32">
        <v>0.58333333333333337</v>
      </c>
      <c r="H50" s="168"/>
      <c r="I50" s="169"/>
      <c r="J50" s="170"/>
    </row>
    <row r="51" spans="2:10" x14ac:dyDescent="0.3">
      <c r="B51" s="23">
        <v>17</v>
      </c>
      <c r="C51" s="22" t="s">
        <v>54</v>
      </c>
      <c r="D51" s="22" t="s">
        <v>74</v>
      </c>
      <c r="E51" s="24">
        <v>41462</v>
      </c>
      <c r="F51" s="32">
        <v>0.35416666666666702</v>
      </c>
      <c r="G51" s="32">
        <v>0.61458333333333337</v>
      </c>
      <c r="H51" s="168"/>
      <c r="I51" s="169"/>
      <c r="J51" s="170"/>
    </row>
    <row r="52" spans="2:10" x14ac:dyDescent="0.3">
      <c r="B52" s="23">
        <v>17</v>
      </c>
      <c r="C52" s="22" t="s">
        <v>54</v>
      </c>
      <c r="D52" s="22" t="s">
        <v>70</v>
      </c>
      <c r="E52" s="24">
        <v>41463</v>
      </c>
      <c r="F52" s="32">
        <v>0.35416666666666702</v>
      </c>
      <c r="G52" s="32">
        <v>0.61458333333333337</v>
      </c>
      <c r="H52" s="168"/>
      <c r="I52" s="169"/>
      <c r="J52" s="170"/>
    </row>
    <row r="53" spans="2:10" x14ac:dyDescent="0.3">
      <c r="B53" s="23">
        <v>17</v>
      </c>
      <c r="C53" s="22" t="s">
        <v>54</v>
      </c>
      <c r="D53" s="22" t="s">
        <v>72</v>
      </c>
      <c r="E53" s="24">
        <v>41464</v>
      </c>
      <c r="F53" s="32">
        <v>0.35416666666666702</v>
      </c>
      <c r="G53" s="32">
        <v>0.625</v>
      </c>
      <c r="H53" s="168"/>
      <c r="I53" s="169"/>
      <c r="J53" s="170"/>
    </row>
    <row r="54" spans="2:10" x14ac:dyDescent="0.3">
      <c r="B54" s="23">
        <v>17</v>
      </c>
      <c r="C54" s="22" t="s">
        <v>54</v>
      </c>
      <c r="D54" s="22" t="s">
        <v>75</v>
      </c>
      <c r="E54" s="24">
        <v>41465</v>
      </c>
      <c r="F54" s="32">
        <v>0.35416666666666702</v>
      </c>
      <c r="G54" s="32">
        <v>0.70833333333333337</v>
      </c>
      <c r="H54" s="168"/>
      <c r="I54" s="169"/>
      <c r="J54" s="170"/>
    </row>
    <row r="55" spans="2:10" x14ac:dyDescent="0.3">
      <c r="B55" s="23">
        <v>17</v>
      </c>
      <c r="C55" s="22" t="s">
        <v>54</v>
      </c>
      <c r="D55" s="22" t="s">
        <v>73</v>
      </c>
      <c r="E55" s="24">
        <v>41466</v>
      </c>
      <c r="F55" s="32">
        <v>0.35416666666666702</v>
      </c>
      <c r="G55" s="32">
        <v>0.61458333333333337</v>
      </c>
      <c r="H55" s="168"/>
      <c r="I55" s="169"/>
      <c r="J55" s="170"/>
    </row>
    <row r="56" spans="2:10" x14ac:dyDescent="0.3">
      <c r="B56" s="23">
        <v>18</v>
      </c>
      <c r="C56" s="22" t="s">
        <v>55</v>
      </c>
      <c r="D56" s="22" t="s">
        <v>69</v>
      </c>
      <c r="E56" s="24">
        <v>41456</v>
      </c>
      <c r="F56" s="32">
        <v>0.45833333333333331</v>
      </c>
      <c r="G56" s="32">
        <v>0.70833333333333337</v>
      </c>
      <c r="H56" s="168"/>
      <c r="I56" s="169"/>
      <c r="J56" s="170"/>
    </row>
    <row r="57" spans="2:10" x14ac:dyDescent="0.3">
      <c r="B57" s="23">
        <v>18</v>
      </c>
      <c r="C57" s="22" t="s">
        <v>55</v>
      </c>
      <c r="D57" s="22" t="s">
        <v>71</v>
      </c>
      <c r="E57" s="24">
        <v>41458</v>
      </c>
      <c r="F57" s="32">
        <v>0.375</v>
      </c>
      <c r="G57" s="32">
        <v>0.625</v>
      </c>
      <c r="H57" s="168"/>
      <c r="I57" s="169"/>
      <c r="J57" s="170"/>
    </row>
    <row r="58" spans="2:10" x14ac:dyDescent="0.3">
      <c r="B58" s="23">
        <v>18</v>
      </c>
      <c r="C58" s="22" t="s">
        <v>55</v>
      </c>
      <c r="D58" s="22" t="s">
        <v>67</v>
      </c>
      <c r="E58" s="24">
        <v>41459</v>
      </c>
      <c r="F58" s="32">
        <v>0.36458333333333331</v>
      </c>
      <c r="G58" s="32">
        <v>0.66666666666666663</v>
      </c>
      <c r="H58" s="168"/>
      <c r="I58" s="169"/>
      <c r="J58" s="170"/>
    </row>
    <row r="59" spans="2:10" x14ac:dyDescent="0.3">
      <c r="B59" s="23">
        <v>18</v>
      </c>
      <c r="C59" s="22" t="s">
        <v>55</v>
      </c>
      <c r="D59" s="22" t="s">
        <v>70</v>
      </c>
      <c r="E59" s="24">
        <v>41462</v>
      </c>
      <c r="F59" s="32">
        <v>0.4375</v>
      </c>
      <c r="G59" s="32">
        <v>0.75</v>
      </c>
      <c r="H59" s="168"/>
      <c r="I59" s="169"/>
      <c r="J59" s="170"/>
    </row>
    <row r="60" spans="2:10" x14ac:dyDescent="0.3">
      <c r="B60" s="23">
        <v>18</v>
      </c>
      <c r="C60" s="22" t="s">
        <v>55</v>
      </c>
      <c r="D60" s="22" t="s">
        <v>72</v>
      </c>
      <c r="E60" s="24">
        <v>41467</v>
      </c>
      <c r="F60" s="32">
        <v>0.35416666666666702</v>
      </c>
      <c r="G60" s="32">
        <v>0.625</v>
      </c>
      <c r="H60" s="168"/>
      <c r="I60" s="169"/>
      <c r="J60" s="170"/>
    </row>
    <row r="61" spans="2:10" x14ac:dyDescent="0.3">
      <c r="B61" s="23">
        <v>19</v>
      </c>
      <c r="C61" s="22" t="s">
        <v>54</v>
      </c>
      <c r="D61" s="22" t="s">
        <v>75</v>
      </c>
      <c r="E61" s="24">
        <v>41469</v>
      </c>
      <c r="F61" s="32">
        <v>0.35416666666666702</v>
      </c>
      <c r="G61" s="32">
        <v>0.64583333333333337</v>
      </c>
      <c r="H61" s="168"/>
      <c r="I61" s="169"/>
      <c r="J61" s="170"/>
    </row>
    <row r="62" spans="2:10" x14ac:dyDescent="0.3">
      <c r="B62" s="23">
        <v>19</v>
      </c>
      <c r="C62" s="22" t="s">
        <v>54</v>
      </c>
      <c r="D62" s="22" t="s">
        <v>73</v>
      </c>
      <c r="E62" s="24">
        <v>41472</v>
      </c>
      <c r="F62" s="32">
        <v>0.54166666666666663</v>
      </c>
      <c r="G62" s="32">
        <v>0.625</v>
      </c>
      <c r="H62" s="168"/>
      <c r="I62" s="169"/>
      <c r="J62" s="170"/>
    </row>
    <row r="63" spans="2:10" x14ac:dyDescent="0.3">
      <c r="B63" s="23">
        <v>20</v>
      </c>
      <c r="C63" s="22" t="s">
        <v>53</v>
      </c>
      <c r="D63" s="22" t="s">
        <v>69</v>
      </c>
      <c r="E63" s="24">
        <v>41478</v>
      </c>
      <c r="F63" s="32">
        <v>0.375</v>
      </c>
      <c r="G63" s="32">
        <v>0.65625</v>
      </c>
      <c r="H63" s="168"/>
      <c r="I63" s="169"/>
      <c r="J63" s="170"/>
    </row>
    <row r="64" spans="2:10" x14ac:dyDescent="0.3">
      <c r="B64" s="23">
        <v>20</v>
      </c>
      <c r="C64" s="22" t="s">
        <v>53</v>
      </c>
      <c r="D64" s="22" t="s">
        <v>72</v>
      </c>
      <c r="E64" s="24">
        <v>41479</v>
      </c>
      <c r="F64" s="32">
        <v>0.41666666666666669</v>
      </c>
      <c r="G64" s="32">
        <v>0.75</v>
      </c>
      <c r="H64" s="168"/>
      <c r="I64" s="169"/>
      <c r="J64" s="170"/>
    </row>
    <row r="65" spans="2:10" x14ac:dyDescent="0.3">
      <c r="B65" s="23">
        <v>21</v>
      </c>
      <c r="C65" s="22" t="s">
        <v>54</v>
      </c>
      <c r="D65" s="22" t="s">
        <v>75</v>
      </c>
      <c r="E65" s="24">
        <v>41477</v>
      </c>
      <c r="F65" s="32">
        <v>0.35416666666666669</v>
      </c>
      <c r="G65" s="32">
        <v>0.58333333333333337</v>
      </c>
      <c r="H65" s="168"/>
      <c r="I65" s="169"/>
      <c r="J65" s="170"/>
    </row>
    <row r="66" spans="2:10" x14ac:dyDescent="0.3">
      <c r="B66" s="23">
        <v>21</v>
      </c>
      <c r="C66" s="22" t="s">
        <v>54</v>
      </c>
      <c r="D66" s="22" t="s">
        <v>73</v>
      </c>
      <c r="E66" s="24">
        <v>41478</v>
      </c>
      <c r="F66" s="32">
        <v>0.58333333333333337</v>
      </c>
      <c r="G66" s="32">
        <v>0.91666666666666663</v>
      </c>
      <c r="H66" s="168"/>
      <c r="I66" s="169"/>
      <c r="J66" s="170"/>
    </row>
    <row r="67" spans="2:10" x14ac:dyDescent="0.3">
      <c r="B67" s="23">
        <v>22</v>
      </c>
      <c r="C67" s="22" t="s">
        <v>54</v>
      </c>
      <c r="D67" s="22" t="s">
        <v>69</v>
      </c>
      <c r="E67" s="24">
        <v>41473</v>
      </c>
      <c r="F67" s="32">
        <v>0.5</v>
      </c>
      <c r="G67" s="32">
        <v>0.875</v>
      </c>
      <c r="H67" s="168"/>
      <c r="I67" s="169"/>
      <c r="J67" s="170"/>
    </row>
    <row r="68" spans="2:10" x14ac:dyDescent="0.3">
      <c r="B68" s="23">
        <v>23</v>
      </c>
      <c r="C68" s="22" t="s">
        <v>54</v>
      </c>
      <c r="D68" s="22" t="s">
        <v>70</v>
      </c>
      <c r="E68" s="24">
        <v>41473</v>
      </c>
      <c r="F68" s="32">
        <v>0.36458333333333331</v>
      </c>
      <c r="G68" s="32">
        <v>0.75</v>
      </c>
      <c r="H68" s="168"/>
      <c r="I68" s="169"/>
      <c r="J68" s="170"/>
    </row>
    <row r="69" spans="2:10" x14ac:dyDescent="0.3">
      <c r="B69" s="23">
        <v>24</v>
      </c>
      <c r="C69" s="22" t="s">
        <v>55</v>
      </c>
      <c r="D69" s="22" t="s">
        <v>72</v>
      </c>
      <c r="E69" s="24">
        <v>41474</v>
      </c>
      <c r="F69" s="32">
        <v>0.375</v>
      </c>
      <c r="G69" s="32">
        <v>0.58333333333333337</v>
      </c>
      <c r="H69" s="168"/>
      <c r="I69" s="169"/>
      <c r="J69" s="170"/>
    </row>
    <row r="70" spans="2:10" x14ac:dyDescent="0.3">
      <c r="B70" s="23">
        <v>24</v>
      </c>
      <c r="C70" s="22" t="s">
        <v>55</v>
      </c>
      <c r="D70" s="22" t="s">
        <v>75</v>
      </c>
      <c r="E70" s="24">
        <v>41475</v>
      </c>
      <c r="F70" s="32">
        <v>0.44791666666666669</v>
      </c>
      <c r="G70" s="32">
        <v>0.625</v>
      </c>
      <c r="H70" s="168"/>
      <c r="I70" s="169"/>
      <c r="J70" s="170"/>
    </row>
    <row r="71" spans="2:10" x14ac:dyDescent="0.3">
      <c r="B71" s="23">
        <v>25</v>
      </c>
      <c r="C71" s="22" t="s">
        <v>54</v>
      </c>
      <c r="D71" s="22" t="s">
        <v>73</v>
      </c>
      <c r="E71" s="24">
        <v>41477</v>
      </c>
      <c r="F71" s="32">
        <v>0.45833333333333331</v>
      </c>
      <c r="G71" s="32">
        <v>0.66666666666666663</v>
      </c>
      <c r="H71" s="168"/>
      <c r="I71" s="169"/>
      <c r="J71" s="170"/>
    </row>
    <row r="72" spans="2:10" x14ac:dyDescent="0.3">
      <c r="B72" s="23">
        <v>25</v>
      </c>
      <c r="C72" s="22" t="s">
        <v>54</v>
      </c>
      <c r="D72" s="22" t="s">
        <v>69</v>
      </c>
      <c r="E72" s="24">
        <v>41479</v>
      </c>
      <c r="F72" s="32">
        <v>0.29166666666666669</v>
      </c>
      <c r="G72" s="32">
        <v>0.5</v>
      </c>
      <c r="H72" s="168"/>
      <c r="I72" s="169"/>
      <c r="J72" s="170"/>
    </row>
    <row r="73" spans="2:10" x14ac:dyDescent="0.3">
      <c r="B73" s="23">
        <v>26</v>
      </c>
      <c r="C73" s="22" t="s">
        <v>54</v>
      </c>
      <c r="D73" s="22" t="s">
        <v>74</v>
      </c>
      <c r="E73" s="24">
        <v>41483</v>
      </c>
      <c r="F73" s="32">
        <v>0.41666666666666669</v>
      </c>
      <c r="G73" s="32">
        <v>0.58333333333333337</v>
      </c>
      <c r="H73" s="168"/>
      <c r="I73" s="169"/>
      <c r="J73" s="170"/>
    </row>
    <row r="74" spans="2:10" x14ac:dyDescent="0.3">
      <c r="B74" s="23">
        <v>26</v>
      </c>
      <c r="C74" s="22" t="s">
        <v>54</v>
      </c>
      <c r="D74" s="22" t="s">
        <v>70</v>
      </c>
      <c r="E74" s="24">
        <v>41484</v>
      </c>
      <c r="F74" s="32">
        <v>0.28125</v>
      </c>
      <c r="G74" s="32">
        <v>0.66666666666666663</v>
      </c>
      <c r="H74" s="168"/>
      <c r="I74" s="169"/>
      <c r="J74" s="170"/>
    </row>
    <row r="75" spans="2:10" x14ac:dyDescent="0.3">
      <c r="B75" s="23">
        <v>27</v>
      </c>
      <c r="C75" s="22" t="s">
        <v>54</v>
      </c>
      <c r="D75" s="22" t="s">
        <v>72</v>
      </c>
      <c r="E75" s="24">
        <v>41484</v>
      </c>
      <c r="F75" s="32">
        <v>0.61458333333333337</v>
      </c>
      <c r="G75" s="32">
        <v>0.6875</v>
      </c>
      <c r="H75" s="168"/>
      <c r="I75" s="169"/>
      <c r="J75" s="170"/>
    </row>
    <row r="76" spans="2:10" x14ac:dyDescent="0.3">
      <c r="B76" s="23">
        <v>28</v>
      </c>
      <c r="C76" s="22" t="s">
        <v>54</v>
      </c>
      <c r="D76" s="22" t="s">
        <v>75</v>
      </c>
      <c r="E76" s="24">
        <v>41484</v>
      </c>
      <c r="F76" s="32">
        <v>0.58333333333333337</v>
      </c>
      <c r="G76" s="32">
        <v>0.73958333333333337</v>
      </c>
      <c r="H76" s="168"/>
      <c r="I76" s="169"/>
      <c r="J76" s="170"/>
    </row>
    <row r="77" spans="2:10" x14ac:dyDescent="0.3">
      <c r="B77" s="23">
        <v>28</v>
      </c>
      <c r="C77" s="22" t="s">
        <v>54</v>
      </c>
      <c r="D77" s="22" t="s">
        <v>73</v>
      </c>
      <c r="E77" s="24">
        <v>41485</v>
      </c>
      <c r="F77" s="32">
        <v>0.5</v>
      </c>
      <c r="G77" s="32">
        <v>0.625</v>
      </c>
      <c r="H77" s="168"/>
      <c r="I77" s="169"/>
      <c r="J77" s="170"/>
    </row>
    <row r="78" spans="2:10" x14ac:dyDescent="0.3">
      <c r="B78" s="23">
        <v>29</v>
      </c>
      <c r="C78" s="22" t="s">
        <v>53</v>
      </c>
      <c r="D78" s="22" t="s">
        <v>69</v>
      </c>
      <c r="E78" s="24">
        <v>41473</v>
      </c>
      <c r="F78" s="32">
        <v>0.36458333333333331</v>
      </c>
      <c r="G78" s="32">
        <v>0.66666666666666663</v>
      </c>
      <c r="H78" s="168"/>
      <c r="I78" s="169"/>
      <c r="J78" s="170"/>
    </row>
    <row r="79" spans="2:10" x14ac:dyDescent="0.3">
      <c r="B79" s="23">
        <v>29</v>
      </c>
      <c r="C79" s="22" t="s">
        <v>53</v>
      </c>
      <c r="D79" s="22" t="s">
        <v>68</v>
      </c>
      <c r="E79" s="24">
        <v>41474</v>
      </c>
      <c r="F79" s="32">
        <v>0.375</v>
      </c>
      <c r="G79" s="32">
        <v>0.5</v>
      </c>
      <c r="H79" s="168"/>
      <c r="I79" s="169"/>
      <c r="J79" s="170"/>
    </row>
    <row r="80" spans="2:10" x14ac:dyDescent="0.3">
      <c r="B80" s="23">
        <v>29</v>
      </c>
      <c r="C80" s="22" t="s">
        <v>53</v>
      </c>
      <c r="D80" s="22" t="s">
        <v>76</v>
      </c>
      <c r="E80" s="24">
        <v>41484</v>
      </c>
      <c r="F80" s="32">
        <v>0.35416666666666702</v>
      </c>
      <c r="G80" s="32">
        <v>0.75</v>
      </c>
      <c r="H80" s="168"/>
      <c r="I80" s="169"/>
      <c r="J80" s="170"/>
    </row>
    <row r="81" spans="2:10" x14ac:dyDescent="0.3">
      <c r="B81" s="23">
        <v>30</v>
      </c>
      <c r="C81" s="22" t="s">
        <v>53</v>
      </c>
      <c r="D81" s="22" t="s">
        <v>74</v>
      </c>
      <c r="E81" s="24">
        <v>41483</v>
      </c>
      <c r="F81" s="32">
        <v>0.44791666666666669</v>
      </c>
      <c r="G81" s="32">
        <v>0.58333333333333337</v>
      </c>
      <c r="H81" s="168"/>
      <c r="I81" s="169"/>
      <c r="J81" s="170"/>
    </row>
    <row r="82" spans="2:10" x14ac:dyDescent="0.3">
      <c r="B82" s="23">
        <v>30</v>
      </c>
      <c r="C82" s="22" t="s">
        <v>53</v>
      </c>
      <c r="D82" s="22" t="s">
        <v>70</v>
      </c>
      <c r="E82" s="24">
        <v>41484</v>
      </c>
      <c r="F82" s="32">
        <v>0.45833333333333331</v>
      </c>
      <c r="G82" s="32">
        <v>0.66666666666666663</v>
      </c>
      <c r="H82" s="168"/>
      <c r="I82" s="169"/>
      <c r="J82" s="170"/>
    </row>
    <row r="83" spans="2:10" x14ac:dyDescent="0.3">
      <c r="B83" s="23">
        <v>31</v>
      </c>
      <c r="C83" s="22" t="s">
        <v>54</v>
      </c>
      <c r="D83" s="22" t="s">
        <v>72</v>
      </c>
      <c r="E83" s="24">
        <v>41471</v>
      </c>
      <c r="F83" s="32">
        <v>0.375</v>
      </c>
      <c r="G83" s="32">
        <v>0.6875</v>
      </c>
      <c r="H83" s="168"/>
      <c r="I83" s="169"/>
      <c r="J83" s="170"/>
    </row>
    <row r="84" spans="2:10" x14ac:dyDescent="0.3">
      <c r="B84" s="23">
        <v>31</v>
      </c>
      <c r="C84" s="22" t="s">
        <v>54</v>
      </c>
      <c r="D84" s="22" t="s">
        <v>75</v>
      </c>
      <c r="E84" s="24">
        <v>41472</v>
      </c>
      <c r="F84" s="32">
        <v>0.41666666666666669</v>
      </c>
      <c r="G84" s="32">
        <v>0.73958333333333337</v>
      </c>
      <c r="H84" s="168"/>
      <c r="I84" s="169"/>
      <c r="J84" s="170"/>
    </row>
    <row r="85" spans="2:10" x14ac:dyDescent="0.3">
      <c r="B85" s="23">
        <v>32</v>
      </c>
      <c r="C85" s="22" t="s">
        <v>55</v>
      </c>
      <c r="D85" s="22" t="s">
        <v>73</v>
      </c>
      <c r="E85" s="24">
        <v>41473</v>
      </c>
      <c r="F85" s="32">
        <v>0.35416666666666669</v>
      </c>
      <c r="G85" s="32">
        <v>0.91666666666666663</v>
      </c>
      <c r="H85" s="168"/>
      <c r="I85" s="169"/>
      <c r="J85" s="170"/>
    </row>
    <row r="86" spans="2:10" x14ac:dyDescent="0.3">
      <c r="B86" s="23">
        <v>33</v>
      </c>
      <c r="C86" s="22" t="s">
        <v>53</v>
      </c>
      <c r="D86" s="22" t="s">
        <v>68</v>
      </c>
      <c r="E86" s="24">
        <v>41477</v>
      </c>
      <c r="F86" s="32">
        <v>0.35416666666666702</v>
      </c>
      <c r="G86" s="32">
        <v>0.875</v>
      </c>
      <c r="H86" s="168"/>
      <c r="I86" s="169"/>
      <c r="J86" s="170"/>
    </row>
    <row r="87" spans="2:10" x14ac:dyDescent="0.3">
      <c r="B87" s="23">
        <v>33</v>
      </c>
      <c r="C87" s="22" t="s">
        <v>53</v>
      </c>
      <c r="D87" s="22" t="s">
        <v>76</v>
      </c>
      <c r="E87" s="24">
        <v>41478</v>
      </c>
      <c r="F87" s="32">
        <v>0.33333333333333331</v>
      </c>
      <c r="G87" s="32">
        <v>0.70833333333333337</v>
      </c>
      <c r="H87" s="168"/>
      <c r="I87" s="169"/>
      <c r="J87" s="170"/>
    </row>
    <row r="88" spans="2:10" x14ac:dyDescent="0.3">
      <c r="B88" s="23">
        <v>33</v>
      </c>
      <c r="C88" s="22" t="s">
        <v>53</v>
      </c>
      <c r="D88" s="22" t="s">
        <v>74</v>
      </c>
      <c r="E88" s="24">
        <v>41482</v>
      </c>
      <c r="F88" s="32">
        <v>0.33333333333333331</v>
      </c>
      <c r="G88" s="32">
        <v>0.75</v>
      </c>
      <c r="H88" s="168"/>
      <c r="I88" s="169"/>
      <c r="J88" s="170"/>
    </row>
    <row r="89" spans="2:10" x14ac:dyDescent="0.3">
      <c r="B89" s="23">
        <v>33</v>
      </c>
      <c r="C89" s="22" t="s">
        <v>53</v>
      </c>
      <c r="D89" s="22" t="s">
        <v>70</v>
      </c>
      <c r="E89" s="24">
        <v>41483</v>
      </c>
      <c r="F89" s="32">
        <v>0.40625</v>
      </c>
      <c r="G89" s="32">
        <v>0.83333333333333337</v>
      </c>
      <c r="H89" s="168"/>
      <c r="I89" s="169"/>
      <c r="J89" s="170"/>
    </row>
    <row r="90" spans="2:10" x14ac:dyDescent="0.3">
      <c r="B90" s="23">
        <v>33</v>
      </c>
      <c r="C90" s="22" t="s">
        <v>53</v>
      </c>
      <c r="D90" s="22" t="s">
        <v>72</v>
      </c>
      <c r="E90" s="24">
        <v>41484</v>
      </c>
      <c r="F90" s="32">
        <v>0.32291666666666669</v>
      </c>
      <c r="G90" s="32">
        <v>0.70833333333333337</v>
      </c>
      <c r="H90" s="168"/>
      <c r="I90" s="169"/>
      <c r="J90" s="170"/>
    </row>
    <row r="91" spans="2:10" x14ac:dyDescent="0.3">
      <c r="B91" s="23">
        <v>33</v>
      </c>
      <c r="C91" s="22" t="s">
        <v>53</v>
      </c>
      <c r="D91" s="22" t="s">
        <v>75</v>
      </c>
      <c r="E91" s="24">
        <v>41486</v>
      </c>
      <c r="F91" s="32">
        <v>0.25</v>
      </c>
      <c r="G91" s="32">
        <v>0.625</v>
      </c>
      <c r="H91" s="168"/>
      <c r="I91" s="169"/>
      <c r="J91" s="170"/>
    </row>
    <row r="92" spans="2:10" x14ac:dyDescent="0.3">
      <c r="B92" s="23">
        <v>34</v>
      </c>
      <c r="C92" s="22" t="s">
        <v>53</v>
      </c>
      <c r="D92" s="22" t="s">
        <v>73</v>
      </c>
      <c r="E92" s="24">
        <v>41467</v>
      </c>
      <c r="F92" s="32">
        <v>0.25</v>
      </c>
      <c r="G92" s="32">
        <v>0.75</v>
      </c>
      <c r="H92" s="168"/>
      <c r="I92" s="169"/>
      <c r="J92" s="170"/>
    </row>
    <row r="93" spans="2:10" x14ac:dyDescent="0.3">
      <c r="B93" s="23">
        <v>34</v>
      </c>
      <c r="C93" s="22" t="s">
        <v>53</v>
      </c>
      <c r="D93" s="22" t="s">
        <v>69</v>
      </c>
      <c r="E93" s="24">
        <v>41468</v>
      </c>
      <c r="F93" s="32">
        <v>0.25</v>
      </c>
      <c r="G93" s="32">
        <v>0.75</v>
      </c>
      <c r="H93" s="168"/>
      <c r="I93" s="169"/>
      <c r="J93" s="170"/>
    </row>
    <row r="94" spans="2:10" x14ac:dyDescent="0.3">
      <c r="B94" s="23">
        <v>34</v>
      </c>
      <c r="C94" s="22" t="s">
        <v>53</v>
      </c>
      <c r="D94" s="22" t="s">
        <v>71</v>
      </c>
      <c r="E94" s="24">
        <v>41469</v>
      </c>
      <c r="F94" s="32">
        <v>0.25</v>
      </c>
      <c r="G94" s="32">
        <v>0.79166666666666663</v>
      </c>
      <c r="H94" s="168"/>
      <c r="I94" s="169"/>
      <c r="J94" s="170"/>
    </row>
    <row r="95" spans="2:10" x14ac:dyDescent="0.3">
      <c r="B95" s="23">
        <v>34</v>
      </c>
      <c r="C95" s="22" t="s">
        <v>53</v>
      </c>
      <c r="D95" s="22" t="s">
        <v>67</v>
      </c>
      <c r="E95" s="24">
        <v>41485</v>
      </c>
      <c r="F95" s="32">
        <v>0.35416666666666702</v>
      </c>
      <c r="G95" s="32">
        <v>0.58333333333333337</v>
      </c>
      <c r="H95" s="168"/>
      <c r="I95" s="169"/>
      <c r="J95" s="170"/>
    </row>
    <row r="96" spans="2:10" x14ac:dyDescent="0.3">
      <c r="B96" s="23">
        <v>34</v>
      </c>
      <c r="C96" s="22" t="s">
        <v>53</v>
      </c>
      <c r="D96" s="22" t="s">
        <v>70</v>
      </c>
      <c r="E96" s="24">
        <v>41486</v>
      </c>
      <c r="F96" s="32">
        <v>0.54166666666666663</v>
      </c>
      <c r="G96" s="32">
        <v>0.625</v>
      </c>
      <c r="H96" s="168"/>
      <c r="I96" s="169"/>
      <c r="J96" s="170"/>
    </row>
    <row r="97" spans="2:10" x14ac:dyDescent="0.3">
      <c r="B97" s="23">
        <v>35</v>
      </c>
      <c r="C97" s="22" t="s">
        <v>54</v>
      </c>
      <c r="D97" s="22" t="s">
        <v>72</v>
      </c>
      <c r="E97" s="24">
        <v>41465</v>
      </c>
      <c r="F97" s="32">
        <v>0.375</v>
      </c>
      <c r="G97" s="32">
        <v>0.66666666666666663</v>
      </c>
      <c r="H97" s="168"/>
      <c r="I97" s="169"/>
      <c r="J97" s="170"/>
    </row>
    <row r="98" spans="2:10" x14ac:dyDescent="0.3">
      <c r="B98" s="23">
        <v>35</v>
      </c>
      <c r="C98" s="22" t="s">
        <v>54</v>
      </c>
      <c r="D98" s="22" t="s">
        <v>75</v>
      </c>
      <c r="E98" s="24">
        <v>41467</v>
      </c>
      <c r="F98" s="32">
        <v>0.375</v>
      </c>
      <c r="G98" s="32">
        <v>0.5</v>
      </c>
      <c r="H98" s="168"/>
      <c r="I98" s="169"/>
      <c r="J98" s="170"/>
    </row>
    <row r="99" spans="2:10" x14ac:dyDescent="0.3">
      <c r="B99" s="23">
        <v>36</v>
      </c>
      <c r="C99" s="22" t="s">
        <v>54</v>
      </c>
      <c r="D99" s="22" t="s">
        <v>73</v>
      </c>
      <c r="E99" s="24">
        <v>41469</v>
      </c>
      <c r="F99" s="32">
        <v>0.41666666666666669</v>
      </c>
      <c r="G99" s="32">
        <v>0.58333333333333337</v>
      </c>
      <c r="H99" s="168"/>
      <c r="I99" s="169"/>
      <c r="J99" s="170"/>
    </row>
    <row r="100" spans="2:10" x14ac:dyDescent="0.3">
      <c r="B100" s="23">
        <v>36</v>
      </c>
      <c r="C100" s="22" t="s">
        <v>54</v>
      </c>
      <c r="D100" s="22" t="s">
        <v>69</v>
      </c>
      <c r="E100" s="24">
        <v>41472</v>
      </c>
      <c r="F100" s="32">
        <v>0.35416666666666669</v>
      </c>
      <c r="G100" s="32">
        <v>0.66666666666666663</v>
      </c>
      <c r="H100" s="168"/>
      <c r="I100" s="169"/>
      <c r="J100" s="170"/>
    </row>
    <row r="101" spans="2:10" x14ac:dyDescent="0.3">
      <c r="B101" s="23">
        <v>36</v>
      </c>
      <c r="C101" s="22" t="s">
        <v>54</v>
      </c>
      <c r="D101" s="22" t="s">
        <v>75</v>
      </c>
      <c r="E101" s="24">
        <v>41473</v>
      </c>
      <c r="F101" s="32">
        <v>0.33333333333333331</v>
      </c>
      <c r="G101" s="32">
        <v>0.70833333333333337</v>
      </c>
      <c r="H101" s="168"/>
      <c r="I101" s="169"/>
      <c r="J101" s="170"/>
    </row>
    <row r="102" spans="2:10" x14ac:dyDescent="0.3">
      <c r="B102" s="23">
        <v>36</v>
      </c>
      <c r="C102" s="22" t="s">
        <v>54</v>
      </c>
      <c r="D102" s="22" t="s">
        <v>73</v>
      </c>
      <c r="E102" s="24">
        <v>41475</v>
      </c>
      <c r="F102" s="32">
        <v>0.33333333333333331</v>
      </c>
      <c r="G102" s="32">
        <v>0.72916666666666663</v>
      </c>
      <c r="H102" s="168"/>
      <c r="I102" s="169"/>
      <c r="J102" s="170"/>
    </row>
    <row r="103" spans="2:10" x14ac:dyDescent="0.3">
      <c r="B103" s="23">
        <v>36</v>
      </c>
      <c r="C103" s="22" t="s">
        <v>54</v>
      </c>
      <c r="D103" s="22" t="s">
        <v>69</v>
      </c>
      <c r="E103" s="24">
        <v>41476</v>
      </c>
      <c r="F103" s="32">
        <v>0.40625</v>
      </c>
      <c r="G103" s="32">
        <v>0.75</v>
      </c>
      <c r="H103" s="168"/>
      <c r="I103" s="169"/>
      <c r="J103" s="170"/>
    </row>
    <row r="104" spans="2:10" x14ac:dyDescent="0.3">
      <c r="B104" s="23">
        <v>37</v>
      </c>
      <c r="C104" s="22" t="s">
        <v>53</v>
      </c>
      <c r="D104" s="22" t="s">
        <v>68</v>
      </c>
      <c r="E104" s="24">
        <v>41473</v>
      </c>
      <c r="F104" s="32">
        <v>0.35416666666666702</v>
      </c>
      <c r="G104" s="32">
        <v>0.6875</v>
      </c>
      <c r="H104" s="168"/>
      <c r="I104" s="169"/>
      <c r="J104" s="170"/>
    </row>
    <row r="105" spans="2:10" x14ac:dyDescent="0.3">
      <c r="B105" s="23">
        <v>37</v>
      </c>
      <c r="C105" s="22" t="s">
        <v>53</v>
      </c>
      <c r="D105" s="22" t="s">
        <v>76</v>
      </c>
      <c r="E105" s="24">
        <v>41474</v>
      </c>
      <c r="F105" s="32">
        <v>0.35416666666666702</v>
      </c>
      <c r="G105" s="32">
        <v>0.91666666666666663</v>
      </c>
      <c r="H105" s="168"/>
      <c r="I105" s="169"/>
      <c r="J105" s="170"/>
    </row>
    <row r="106" spans="2:10" x14ac:dyDescent="0.3">
      <c r="B106" s="23">
        <v>38</v>
      </c>
      <c r="C106" s="22" t="s">
        <v>53</v>
      </c>
      <c r="D106" s="22" t="s">
        <v>74</v>
      </c>
      <c r="E106" s="24">
        <v>41482</v>
      </c>
      <c r="F106" s="32">
        <v>0.35416666666666702</v>
      </c>
      <c r="G106" s="32">
        <v>0.875</v>
      </c>
      <c r="H106" s="168"/>
      <c r="I106" s="169"/>
      <c r="J106" s="170"/>
    </row>
    <row r="107" spans="2:10" x14ac:dyDescent="0.3">
      <c r="B107" s="23">
        <v>38</v>
      </c>
      <c r="C107" s="22" t="s">
        <v>53</v>
      </c>
      <c r="D107" s="22" t="s">
        <v>70</v>
      </c>
      <c r="E107" s="24">
        <v>41481</v>
      </c>
      <c r="F107" s="32">
        <v>0.54166666666666663</v>
      </c>
      <c r="G107" s="32">
        <v>0.75</v>
      </c>
      <c r="H107" s="168"/>
      <c r="I107" s="169"/>
      <c r="J107" s="170"/>
    </row>
    <row r="108" spans="2:10" x14ac:dyDescent="0.3">
      <c r="B108" s="23">
        <v>39</v>
      </c>
      <c r="C108" s="22" t="s">
        <v>55</v>
      </c>
      <c r="D108" s="22" t="s">
        <v>72</v>
      </c>
      <c r="E108" s="24">
        <v>41483</v>
      </c>
      <c r="F108" s="32">
        <v>0.375</v>
      </c>
      <c r="G108" s="32">
        <v>0.58333333333333337</v>
      </c>
      <c r="H108" s="168"/>
      <c r="I108" s="169"/>
      <c r="J108" s="170"/>
    </row>
    <row r="109" spans="2:10" x14ac:dyDescent="0.3">
      <c r="B109" s="23">
        <v>39</v>
      </c>
      <c r="C109" s="22" t="s">
        <v>55</v>
      </c>
      <c r="D109" s="22" t="s">
        <v>75</v>
      </c>
      <c r="E109" s="24">
        <v>41486</v>
      </c>
      <c r="F109" s="32">
        <v>0.5</v>
      </c>
      <c r="G109" s="32">
        <v>0.625</v>
      </c>
      <c r="H109" s="168"/>
      <c r="I109" s="169"/>
      <c r="J109" s="170"/>
    </row>
    <row r="110" spans="2:10" x14ac:dyDescent="0.3">
      <c r="B110" s="23">
        <v>40</v>
      </c>
      <c r="C110" s="22" t="s">
        <v>54</v>
      </c>
      <c r="D110" s="22" t="s">
        <v>73</v>
      </c>
      <c r="E110" s="24">
        <v>41457</v>
      </c>
      <c r="F110" s="32">
        <v>0.58333333333333337</v>
      </c>
      <c r="G110" s="32">
        <v>0.66666666666666663</v>
      </c>
      <c r="H110" s="168"/>
      <c r="I110" s="169"/>
      <c r="J110" s="170"/>
    </row>
    <row r="111" spans="2:10" x14ac:dyDescent="0.3">
      <c r="B111" s="23">
        <v>40</v>
      </c>
      <c r="C111" s="22" t="s">
        <v>54</v>
      </c>
      <c r="D111" s="22" t="s">
        <v>69</v>
      </c>
      <c r="E111" s="24">
        <v>41473</v>
      </c>
      <c r="F111" s="32">
        <v>0.33333333333333331</v>
      </c>
      <c r="G111" s="32">
        <v>0.5</v>
      </c>
      <c r="H111" s="168"/>
      <c r="I111" s="169"/>
      <c r="J111" s="170"/>
    </row>
    <row r="112" spans="2:10" x14ac:dyDescent="0.3">
      <c r="B112" s="33"/>
      <c r="C112" s="33"/>
      <c r="D112" s="34"/>
      <c r="E112" s="33"/>
      <c r="F112" s="33"/>
      <c r="G112" s="35"/>
      <c r="H112" s="33"/>
      <c r="I112" s="33"/>
    </row>
    <row r="113" spans="2:9" x14ac:dyDescent="0.3">
      <c r="B113" s="33"/>
      <c r="C113" s="33"/>
      <c r="D113" s="34"/>
      <c r="E113" s="33"/>
      <c r="F113" s="33"/>
      <c r="G113" s="35"/>
      <c r="H113" s="33"/>
      <c r="I113" s="33"/>
    </row>
    <row r="114" spans="2:9" x14ac:dyDescent="0.3">
      <c r="B114" s="33"/>
      <c r="C114" s="33"/>
      <c r="D114" s="33"/>
      <c r="E114" s="33"/>
      <c r="F114" s="33"/>
      <c r="G114" s="35"/>
      <c r="H114" s="33"/>
      <c r="I114" s="33"/>
    </row>
    <row r="115" spans="2:9" x14ac:dyDescent="0.3">
      <c r="B115" s="33"/>
      <c r="C115" s="33"/>
      <c r="D115" s="33"/>
      <c r="E115" s="33"/>
      <c r="F115" s="33"/>
      <c r="G115" s="33"/>
      <c r="H115" s="33"/>
      <c r="I115" s="33"/>
    </row>
    <row r="116" spans="2:9" x14ac:dyDescent="0.3">
      <c r="B116" s="33"/>
      <c r="C116" s="33"/>
      <c r="D116" s="33"/>
      <c r="E116" s="33"/>
      <c r="F116" s="33"/>
      <c r="G116" s="33"/>
      <c r="H116" s="33"/>
      <c r="I116" s="33"/>
    </row>
    <row r="117" spans="2:9" x14ac:dyDescent="0.3">
      <c r="B117" s="33"/>
      <c r="C117" s="33"/>
      <c r="D117" s="33"/>
      <c r="E117" s="33"/>
      <c r="F117" s="33"/>
      <c r="G117" s="33"/>
      <c r="H117" s="33"/>
      <c r="I117" s="33"/>
    </row>
    <row r="118" spans="2:9" x14ac:dyDescent="0.3">
      <c r="B118" s="33"/>
      <c r="C118" s="33"/>
      <c r="D118" s="33"/>
      <c r="E118" s="33"/>
      <c r="F118" s="33"/>
      <c r="G118" s="33"/>
      <c r="H118" s="33"/>
      <c r="I118" s="33"/>
    </row>
    <row r="119" spans="2:9" x14ac:dyDescent="0.3">
      <c r="B119" s="33"/>
      <c r="C119" s="33"/>
      <c r="D119" s="33"/>
      <c r="E119" s="33"/>
      <c r="F119" s="33"/>
      <c r="G119" s="33"/>
      <c r="H119" s="33"/>
      <c r="I119" s="33"/>
    </row>
    <row r="120" spans="2:9" x14ac:dyDescent="0.3">
      <c r="B120" s="33"/>
      <c r="C120" s="33"/>
      <c r="D120" s="33"/>
      <c r="E120" s="33"/>
      <c r="F120" s="33"/>
      <c r="G120" s="33"/>
      <c r="H120" s="33"/>
      <c r="I120" s="33"/>
    </row>
    <row r="121" spans="2:9" x14ac:dyDescent="0.3">
      <c r="B121" s="33"/>
      <c r="C121" s="33"/>
      <c r="D121" s="33"/>
      <c r="E121" s="33"/>
      <c r="F121" s="33"/>
      <c r="G121" s="33"/>
      <c r="H121" s="33"/>
      <c r="I121" s="33"/>
    </row>
    <row r="122" spans="2:9" x14ac:dyDescent="0.3">
      <c r="B122" s="33"/>
      <c r="C122" s="33"/>
      <c r="D122" s="33"/>
      <c r="E122" s="33"/>
      <c r="F122" s="33"/>
      <c r="G122" s="33"/>
      <c r="H122" s="33"/>
      <c r="I122" s="33"/>
    </row>
    <row r="123" spans="2:9" x14ac:dyDescent="0.3">
      <c r="B123" s="33"/>
      <c r="C123" s="33"/>
      <c r="D123" s="33"/>
      <c r="E123" s="33"/>
      <c r="F123" s="33"/>
      <c r="G123" s="33"/>
      <c r="H123" s="33"/>
      <c r="I123" s="33"/>
    </row>
    <row r="124" spans="2:9" x14ac:dyDescent="0.3">
      <c r="B124" s="33"/>
      <c r="C124" s="33"/>
      <c r="D124" s="33"/>
      <c r="E124" s="33"/>
      <c r="F124" s="33"/>
      <c r="G124" s="33"/>
      <c r="H124" s="33"/>
      <c r="I124" s="33"/>
    </row>
    <row r="125" spans="2:9" x14ac:dyDescent="0.3">
      <c r="B125" s="33"/>
      <c r="C125" s="33"/>
      <c r="D125" s="33"/>
      <c r="E125" s="33"/>
      <c r="F125" s="33"/>
      <c r="G125" s="33"/>
      <c r="H125" s="33"/>
      <c r="I125" s="33"/>
    </row>
    <row r="126" spans="2:9" x14ac:dyDescent="0.3">
      <c r="B126" s="33"/>
      <c r="C126" s="33"/>
      <c r="D126" s="33"/>
      <c r="E126" s="33"/>
      <c r="F126" s="33"/>
      <c r="G126" s="33"/>
      <c r="H126" s="33"/>
      <c r="I126" s="33"/>
    </row>
    <row r="127" spans="2:9" x14ac:dyDescent="0.3">
      <c r="B127" s="33"/>
      <c r="C127" s="33"/>
      <c r="D127" s="33"/>
      <c r="E127" s="33"/>
      <c r="F127" s="33"/>
      <c r="G127" s="33"/>
      <c r="H127" s="33"/>
      <c r="I127" s="33"/>
    </row>
    <row r="128" spans="2:9" x14ac:dyDescent="0.3">
      <c r="B128" s="33"/>
      <c r="C128" s="33"/>
      <c r="D128" s="33"/>
      <c r="E128" s="33"/>
      <c r="F128" s="33"/>
      <c r="G128" s="33"/>
      <c r="H128" s="33"/>
      <c r="I128" s="33"/>
    </row>
    <row r="129" spans="2:9" x14ac:dyDescent="0.3">
      <c r="B129" s="33"/>
      <c r="C129" s="33"/>
      <c r="D129" s="33"/>
      <c r="E129" s="33"/>
      <c r="F129" s="33"/>
      <c r="G129" s="33"/>
      <c r="H129" s="33"/>
      <c r="I129" s="33"/>
    </row>
    <row r="130" spans="2:9" x14ac:dyDescent="0.3">
      <c r="B130" s="33"/>
      <c r="C130" s="33"/>
      <c r="D130" s="33"/>
      <c r="E130" s="33"/>
      <c r="F130" s="33"/>
      <c r="G130" s="33"/>
      <c r="H130" s="33"/>
      <c r="I130" s="33"/>
    </row>
    <row r="131" spans="2:9" x14ac:dyDescent="0.3">
      <c r="B131" s="33"/>
      <c r="C131" s="33"/>
      <c r="D131" s="33"/>
      <c r="E131" s="33"/>
      <c r="F131" s="33"/>
      <c r="G131" s="33"/>
      <c r="H131" s="33"/>
      <c r="I131" s="33"/>
    </row>
    <row r="132" spans="2:9" x14ac:dyDescent="0.3">
      <c r="B132" s="33"/>
      <c r="C132" s="33"/>
      <c r="D132" s="33"/>
      <c r="E132" s="33"/>
      <c r="F132" s="33"/>
      <c r="G132" s="33"/>
      <c r="H132" s="33"/>
      <c r="I132" s="33"/>
    </row>
    <row r="133" spans="2:9" x14ac:dyDescent="0.3">
      <c r="B133" s="33"/>
      <c r="C133" s="33"/>
      <c r="D133" s="33"/>
      <c r="E133" s="33"/>
      <c r="F133" s="33"/>
      <c r="G133" s="33"/>
      <c r="H133" s="33"/>
      <c r="I133" s="33"/>
    </row>
    <row r="134" spans="2:9" x14ac:dyDescent="0.3">
      <c r="B134" s="33"/>
      <c r="C134" s="33"/>
      <c r="D134" s="33"/>
      <c r="E134" s="33"/>
      <c r="F134" s="33"/>
      <c r="G134" s="33"/>
      <c r="H134" s="33"/>
      <c r="I134" s="33"/>
    </row>
    <row r="135" spans="2:9" x14ac:dyDescent="0.3">
      <c r="B135" s="33"/>
      <c r="C135" s="33"/>
      <c r="D135" s="33"/>
      <c r="E135" s="33"/>
      <c r="F135" s="33"/>
      <c r="G135" s="33"/>
      <c r="H135" s="33"/>
      <c r="I135" s="33"/>
    </row>
    <row r="136" spans="2:9" x14ac:dyDescent="0.3">
      <c r="B136" s="33"/>
      <c r="C136" s="33"/>
      <c r="D136" s="33"/>
      <c r="E136" s="33"/>
      <c r="F136" s="33"/>
      <c r="G136" s="33"/>
      <c r="H136" s="33"/>
      <c r="I136" s="33"/>
    </row>
    <row r="137" spans="2:9" x14ac:dyDescent="0.3">
      <c r="B137" s="33"/>
      <c r="C137" s="33"/>
      <c r="D137" s="33"/>
      <c r="E137" s="33"/>
      <c r="F137" s="33"/>
      <c r="G137" s="33"/>
      <c r="H137" s="33"/>
      <c r="I137" s="33"/>
    </row>
    <row r="138" spans="2:9" x14ac:dyDescent="0.3">
      <c r="B138" s="33"/>
      <c r="C138" s="33"/>
      <c r="D138" s="33"/>
      <c r="E138" s="33"/>
      <c r="F138" s="33"/>
      <c r="G138" s="33"/>
      <c r="H138" s="33"/>
      <c r="I138" s="33"/>
    </row>
    <row r="139" spans="2:9" x14ac:dyDescent="0.3">
      <c r="B139" s="33"/>
      <c r="C139" s="33"/>
      <c r="D139" s="33"/>
      <c r="E139" s="33"/>
      <c r="F139" s="33"/>
      <c r="G139" s="33"/>
      <c r="H139" s="33"/>
      <c r="I139" s="33"/>
    </row>
    <row r="140" spans="2:9" x14ac:dyDescent="0.3">
      <c r="B140" s="33"/>
      <c r="C140" s="33"/>
      <c r="D140" s="33"/>
      <c r="E140" s="33"/>
      <c r="F140" s="33"/>
      <c r="G140" s="33"/>
      <c r="H140" s="33"/>
      <c r="I140" s="33"/>
    </row>
    <row r="141" spans="2:9" x14ac:dyDescent="0.3">
      <c r="B141" s="33"/>
      <c r="C141" s="33"/>
      <c r="D141" s="33"/>
      <c r="E141" s="33"/>
      <c r="F141" s="33"/>
      <c r="G141" s="33"/>
      <c r="H141" s="33"/>
      <c r="I141" s="33"/>
    </row>
    <row r="142" spans="2:9" x14ac:dyDescent="0.3">
      <c r="B142" s="33"/>
      <c r="C142" s="33"/>
      <c r="D142" s="33"/>
      <c r="E142" s="33"/>
      <c r="F142" s="33"/>
      <c r="G142" s="33"/>
      <c r="H142" s="33"/>
      <c r="I142" s="33"/>
    </row>
    <row r="143" spans="2:9" x14ac:dyDescent="0.3">
      <c r="B143" s="33"/>
      <c r="C143" s="33"/>
      <c r="D143" s="33"/>
      <c r="E143" s="33"/>
      <c r="F143" s="33"/>
      <c r="G143" s="33"/>
      <c r="H143" s="33"/>
      <c r="I143" s="33"/>
    </row>
    <row r="144" spans="2:9" x14ac:dyDescent="0.3">
      <c r="B144" s="33"/>
      <c r="C144" s="33"/>
      <c r="D144" s="33"/>
      <c r="E144" s="33"/>
      <c r="F144" s="33"/>
      <c r="G144" s="33"/>
      <c r="H144" s="33"/>
      <c r="I144" s="33"/>
    </row>
    <row r="145" spans="2:9" x14ac:dyDescent="0.3">
      <c r="B145" s="33"/>
      <c r="C145" s="33"/>
      <c r="D145" s="33"/>
      <c r="E145" s="33"/>
      <c r="F145" s="33"/>
      <c r="G145" s="33"/>
      <c r="H145" s="33"/>
      <c r="I145" s="33"/>
    </row>
    <row r="146" spans="2:9" x14ac:dyDescent="0.3">
      <c r="B146" s="33"/>
      <c r="C146" s="33"/>
      <c r="D146" s="33"/>
      <c r="E146" s="33"/>
      <c r="F146" s="33"/>
      <c r="G146" s="33"/>
      <c r="H146" s="33"/>
      <c r="I146" s="33"/>
    </row>
    <row r="147" spans="2:9" x14ac:dyDescent="0.3">
      <c r="B147" s="33"/>
      <c r="C147" s="33"/>
      <c r="D147" s="33"/>
      <c r="E147" s="33"/>
      <c r="F147" s="33"/>
      <c r="G147" s="33"/>
      <c r="H147" s="33"/>
      <c r="I147" s="33"/>
    </row>
    <row r="148" spans="2:9" x14ac:dyDescent="0.3">
      <c r="B148" s="33"/>
      <c r="C148" s="33"/>
      <c r="D148" s="33"/>
      <c r="E148" s="33"/>
      <c r="F148" s="33"/>
      <c r="G148" s="33"/>
      <c r="H148" s="33"/>
      <c r="I148" s="33"/>
    </row>
    <row r="149" spans="2:9" x14ac:dyDescent="0.3">
      <c r="B149" s="33"/>
      <c r="C149" s="33"/>
      <c r="D149" s="33"/>
      <c r="E149" s="33"/>
      <c r="F149" s="33"/>
      <c r="G149" s="33"/>
      <c r="H149" s="33"/>
      <c r="I149" s="33"/>
    </row>
    <row r="150" spans="2:9" x14ac:dyDescent="0.3">
      <c r="B150" s="33"/>
      <c r="C150" s="33"/>
      <c r="D150" s="33"/>
      <c r="E150" s="33"/>
      <c r="F150" s="33"/>
      <c r="G150" s="33"/>
      <c r="H150" s="33"/>
      <c r="I150" s="33"/>
    </row>
    <row r="151" spans="2:9" x14ac:dyDescent="0.3">
      <c r="B151" s="33"/>
      <c r="C151" s="33"/>
      <c r="D151" s="33"/>
      <c r="E151" s="33"/>
      <c r="F151" s="33"/>
      <c r="G151" s="33"/>
      <c r="H151" s="33"/>
      <c r="I151" s="33"/>
    </row>
    <row r="152" spans="2:9" x14ac:dyDescent="0.3">
      <c r="B152" s="33"/>
      <c r="C152" s="33"/>
      <c r="D152" s="33"/>
      <c r="E152" s="33"/>
      <c r="F152" s="33"/>
      <c r="G152" s="33"/>
      <c r="H152" s="33"/>
      <c r="I152" s="33"/>
    </row>
    <row r="153" spans="2:9" x14ac:dyDescent="0.3">
      <c r="B153" s="33"/>
      <c r="C153" s="33"/>
      <c r="D153" s="33"/>
      <c r="E153" s="33"/>
      <c r="F153" s="33"/>
      <c r="G153" s="33"/>
      <c r="H153" s="33"/>
      <c r="I153" s="33"/>
    </row>
    <row r="154" spans="2:9" x14ac:dyDescent="0.3">
      <c r="B154" s="33"/>
      <c r="C154" s="33"/>
      <c r="D154" s="33"/>
      <c r="E154" s="33"/>
      <c r="F154" s="33"/>
      <c r="G154" s="33"/>
      <c r="H154" s="33"/>
      <c r="I154" s="33"/>
    </row>
    <row r="155" spans="2:9" x14ac:dyDescent="0.3">
      <c r="B155" s="33"/>
      <c r="C155" s="33"/>
      <c r="D155" s="33"/>
      <c r="E155" s="33"/>
      <c r="F155" s="33"/>
      <c r="G155" s="33"/>
      <c r="H155" s="33"/>
      <c r="I155" s="33"/>
    </row>
    <row r="156" spans="2:9" x14ac:dyDescent="0.3">
      <c r="B156" s="33"/>
      <c r="C156" s="33"/>
      <c r="D156" s="33"/>
      <c r="E156" s="33"/>
      <c r="F156" s="33"/>
      <c r="G156" s="33"/>
      <c r="H156" s="33"/>
      <c r="I156" s="33"/>
    </row>
    <row r="157" spans="2:9" x14ac:dyDescent="0.3">
      <c r="B157" s="33"/>
      <c r="C157" s="33"/>
      <c r="D157" s="33"/>
      <c r="E157" s="33"/>
      <c r="F157" s="33"/>
      <c r="G157" s="33"/>
      <c r="H157" s="33"/>
      <c r="I157" s="33"/>
    </row>
    <row r="158" spans="2:9" x14ac:dyDescent="0.3">
      <c r="B158" s="33"/>
      <c r="C158" s="33"/>
      <c r="D158" s="33"/>
      <c r="E158" s="33"/>
      <c r="F158" s="33"/>
      <c r="G158" s="33"/>
      <c r="H158" s="33"/>
      <c r="I158" s="33"/>
    </row>
    <row r="159" spans="2:9" x14ac:dyDescent="0.3">
      <c r="B159" s="33"/>
      <c r="C159" s="33"/>
      <c r="D159" s="33"/>
      <c r="E159" s="33"/>
      <c r="F159" s="33"/>
      <c r="G159" s="33"/>
      <c r="H159" s="33"/>
      <c r="I159" s="33"/>
    </row>
    <row r="160" spans="2:9" x14ac:dyDescent="0.3">
      <c r="B160" s="33"/>
      <c r="C160" s="33"/>
      <c r="D160" s="33"/>
      <c r="E160" s="33"/>
      <c r="F160" s="33"/>
      <c r="G160" s="33"/>
      <c r="H160" s="33"/>
      <c r="I160" s="33"/>
    </row>
    <row r="161" spans="2:9" x14ac:dyDescent="0.3">
      <c r="B161" s="33"/>
      <c r="C161" s="33"/>
      <c r="D161" s="33"/>
      <c r="E161" s="33"/>
      <c r="F161" s="33"/>
      <c r="G161" s="33"/>
      <c r="H161" s="33"/>
      <c r="I161" s="33"/>
    </row>
    <row r="162" spans="2:9" x14ac:dyDescent="0.3">
      <c r="B162" s="33"/>
      <c r="C162" s="33"/>
      <c r="D162" s="33"/>
      <c r="E162" s="33"/>
      <c r="F162" s="33"/>
      <c r="G162" s="33"/>
      <c r="H162" s="33"/>
      <c r="I162" s="33"/>
    </row>
    <row r="163" spans="2:9" x14ac:dyDescent="0.3">
      <c r="B163" s="33"/>
      <c r="C163" s="33"/>
      <c r="D163" s="33"/>
      <c r="E163" s="33"/>
      <c r="F163" s="33"/>
      <c r="G163" s="33"/>
      <c r="H163" s="33"/>
      <c r="I163" s="33"/>
    </row>
    <row r="164" spans="2:9" x14ac:dyDescent="0.3">
      <c r="B164" s="33"/>
      <c r="C164" s="33"/>
      <c r="D164" s="33"/>
      <c r="E164" s="33"/>
      <c r="F164" s="33"/>
      <c r="G164" s="33"/>
      <c r="H164" s="33"/>
      <c r="I164" s="33"/>
    </row>
    <row r="165" spans="2:9" x14ac:dyDescent="0.3">
      <c r="B165" s="33"/>
      <c r="C165" s="33"/>
      <c r="D165" s="33"/>
      <c r="E165" s="33"/>
      <c r="F165" s="33"/>
      <c r="G165" s="33"/>
      <c r="H165" s="33"/>
      <c r="I165" s="33"/>
    </row>
    <row r="166" spans="2:9" x14ac:dyDescent="0.3">
      <c r="B166" s="33"/>
      <c r="C166" s="33"/>
      <c r="D166" s="33"/>
      <c r="E166" s="33"/>
      <c r="F166" s="33"/>
      <c r="G166" s="33"/>
      <c r="H166" s="33"/>
      <c r="I166" s="33"/>
    </row>
    <row r="167" spans="2:9" x14ac:dyDescent="0.3">
      <c r="B167" s="33"/>
      <c r="C167" s="33"/>
      <c r="D167" s="33"/>
      <c r="E167" s="33"/>
      <c r="F167" s="33"/>
      <c r="G167" s="33"/>
      <c r="H167" s="33"/>
      <c r="I167" s="33"/>
    </row>
    <row r="168" spans="2:9" x14ac:dyDescent="0.3">
      <c r="B168" s="33"/>
      <c r="C168" s="33"/>
      <c r="D168" s="33"/>
      <c r="E168" s="33"/>
      <c r="F168" s="33"/>
      <c r="G168" s="33"/>
      <c r="H168" s="33"/>
      <c r="I168" s="33"/>
    </row>
    <row r="169" spans="2:9" x14ac:dyDescent="0.3">
      <c r="B169" s="33"/>
      <c r="C169" s="33"/>
      <c r="D169" s="33"/>
      <c r="E169" s="33"/>
      <c r="F169" s="33"/>
      <c r="G169" s="33"/>
      <c r="H169" s="33"/>
      <c r="I169" s="33"/>
    </row>
    <row r="170" spans="2:9" x14ac:dyDescent="0.3">
      <c r="B170" s="33"/>
      <c r="C170" s="33"/>
      <c r="D170" s="33"/>
      <c r="E170" s="33"/>
      <c r="F170" s="33"/>
      <c r="G170" s="33"/>
      <c r="H170" s="33"/>
      <c r="I170" s="33"/>
    </row>
    <row r="171" spans="2:9" x14ac:dyDescent="0.3">
      <c r="B171" s="33"/>
      <c r="C171" s="33"/>
      <c r="D171" s="33"/>
      <c r="E171" s="33"/>
      <c r="F171" s="33"/>
      <c r="G171" s="33"/>
      <c r="H171" s="33"/>
      <c r="I171" s="33"/>
    </row>
    <row r="172" spans="2:9" x14ac:dyDescent="0.3">
      <c r="B172" s="33"/>
      <c r="C172" s="33"/>
      <c r="D172" s="33"/>
      <c r="E172" s="33"/>
      <c r="F172" s="33"/>
      <c r="G172" s="33"/>
      <c r="H172" s="33"/>
      <c r="I172" s="33"/>
    </row>
    <row r="173" spans="2:9" x14ac:dyDescent="0.3">
      <c r="B173" s="33"/>
      <c r="C173" s="33"/>
      <c r="D173" s="33"/>
      <c r="E173" s="33"/>
      <c r="F173" s="33"/>
      <c r="G173" s="33"/>
      <c r="H173" s="33"/>
      <c r="I173" s="33"/>
    </row>
    <row r="174" spans="2:9" x14ac:dyDescent="0.3">
      <c r="B174" s="33"/>
      <c r="C174" s="33"/>
      <c r="D174" s="33"/>
      <c r="E174" s="33"/>
      <c r="F174" s="33"/>
      <c r="G174" s="33"/>
      <c r="H174" s="33"/>
      <c r="I174" s="33"/>
    </row>
    <row r="175" spans="2:9" x14ac:dyDescent="0.3">
      <c r="B175" s="33"/>
      <c r="C175" s="33"/>
      <c r="D175" s="33"/>
      <c r="E175" s="33"/>
      <c r="F175" s="33"/>
      <c r="G175" s="33"/>
      <c r="H175" s="33"/>
      <c r="I175" s="33"/>
    </row>
    <row r="176" spans="2:9" x14ac:dyDescent="0.3">
      <c r="B176" s="33"/>
      <c r="C176" s="33"/>
      <c r="D176" s="33"/>
      <c r="E176" s="33"/>
      <c r="F176" s="33"/>
      <c r="G176" s="33"/>
      <c r="H176" s="33"/>
      <c r="I176" s="33"/>
    </row>
    <row r="177" spans="2:9" x14ac:dyDescent="0.3">
      <c r="B177" s="33"/>
      <c r="C177" s="33"/>
      <c r="D177" s="33"/>
      <c r="E177" s="33"/>
      <c r="F177" s="33"/>
      <c r="G177" s="33"/>
      <c r="H177" s="33"/>
      <c r="I177" s="33"/>
    </row>
    <row r="178" spans="2:9" x14ac:dyDescent="0.3">
      <c r="B178" s="33"/>
      <c r="C178" s="33"/>
      <c r="D178" s="33"/>
      <c r="E178" s="33"/>
      <c r="F178" s="33"/>
      <c r="G178" s="33"/>
      <c r="H178" s="33"/>
      <c r="I178" s="33"/>
    </row>
    <row r="179" spans="2:9" x14ac:dyDescent="0.3">
      <c r="B179" s="33"/>
      <c r="C179" s="33"/>
      <c r="D179" s="33"/>
      <c r="E179" s="33"/>
      <c r="F179" s="33"/>
      <c r="G179" s="33"/>
      <c r="H179" s="33"/>
      <c r="I179" s="33"/>
    </row>
    <row r="180" spans="2:9" x14ac:dyDescent="0.3">
      <c r="B180" s="33"/>
      <c r="C180" s="33"/>
      <c r="D180" s="33"/>
      <c r="E180" s="33"/>
      <c r="F180" s="33"/>
      <c r="G180" s="33"/>
      <c r="H180" s="33"/>
      <c r="I180" s="33"/>
    </row>
    <row r="181" spans="2:9" x14ac:dyDescent="0.3">
      <c r="B181" s="33"/>
      <c r="C181" s="33"/>
      <c r="D181" s="33"/>
      <c r="E181" s="33"/>
      <c r="F181" s="33"/>
      <c r="G181" s="33"/>
      <c r="H181" s="33"/>
      <c r="I181" s="33"/>
    </row>
    <row r="182" spans="2:9" x14ac:dyDescent="0.3">
      <c r="B182" s="33"/>
      <c r="C182" s="33"/>
      <c r="D182" s="33"/>
      <c r="E182" s="33"/>
      <c r="F182" s="33"/>
      <c r="G182" s="33"/>
      <c r="H182" s="33"/>
      <c r="I182" s="33"/>
    </row>
    <row r="183" spans="2:9" x14ac:dyDescent="0.3">
      <c r="B183" s="33"/>
      <c r="C183" s="33"/>
      <c r="D183" s="33"/>
      <c r="E183" s="33"/>
      <c r="F183" s="33"/>
      <c r="G183" s="33"/>
      <c r="H183" s="33"/>
      <c r="I183" s="33"/>
    </row>
    <row r="184" spans="2:9" x14ac:dyDescent="0.3">
      <c r="B184" s="33"/>
      <c r="C184" s="33"/>
      <c r="D184" s="33"/>
      <c r="E184" s="33"/>
      <c r="F184" s="33"/>
      <c r="G184" s="33"/>
      <c r="H184" s="33"/>
      <c r="I184" s="33"/>
    </row>
    <row r="185" spans="2:9" x14ac:dyDescent="0.3">
      <c r="B185" s="33"/>
      <c r="C185" s="33"/>
      <c r="D185" s="33"/>
      <c r="E185" s="33"/>
      <c r="F185" s="33"/>
      <c r="G185" s="33"/>
      <c r="H185" s="33"/>
      <c r="I185" s="33"/>
    </row>
    <row r="186" spans="2:9" x14ac:dyDescent="0.3">
      <c r="B186" s="33"/>
      <c r="C186" s="33"/>
      <c r="D186" s="33"/>
      <c r="E186" s="33"/>
      <c r="F186" s="33"/>
      <c r="G186" s="33"/>
      <c r="H186" s="33"/>
      <c r="I186" s="33"/>
    </row>
    <row r="187" spans="2:9" x14ac:dyDescent="0.3">
      <c r="B187" s="33"/>
      <c r="C187" s="33"/>
      <c r="D187" s="33"/>
      <c r="E187" s="33"/>
      <c r="F187" s="33"/>
      <c r="G187" s="33"/>
      <c r="H187" s="33"/>
      <c r="I187" s="33"/>
    </row>
    <row r="188" spans="2:9" x14ac:dyDescent="0.3">
      <c r="B188" s="33"/>
      <c r="C188" s="33"/>
      <c r="D188" s="33"/>
      <c r="E188" s="33"/>
      <c r="F188" s="33"/>
      <c r="G188" s="33"/>
      <c r="H188" s="33"/>
      <c r="I188" s="33"/>
    </row>
    <row r="189" spans="2:9" x14ac:dyDescent="0.3">
      <c r="B189" s="33"/>
      <c r="C189" s="33"/>
      <c r="D189" s="33"/>
      <c r="E189" s="33"/>
      <c r="F189" s="33"/>
      <c r="G189" s="33"/>
      <c r="H189" s="33"/>
      <c r="I189" s="33"/>
    </row>
    <row r="190" spans="2:9" x14ac:dyDescent="0.3">
      <c r="B190" s="33"/>
      <c r="C190" s="33"/>
      <c r="D190" s="33"/>
      <c r="E190" s="33"/>
      <c r="F190" s="33"/>
      <c r="G190" s="33"/>
      <c r="H190" s="33"/>
      <c r="I190" s="33"/>
    </row>
    <row r="191" spans="2:9" x14ac:dyDescent="0.3">
      <c r="B191" s="33"/>
      <c r="C191" s="33"/>
      <c r="D191" s="33"/>
      <c r="E191" s="33"/>
      <c r="F191" s="33"/>
      <c r="G191" s="33"/>
      <c r="H191" s="33"/>
      <c r="I191" s="33"/>
    </row>
    <row r="192" spans="2:9" x14ac:dyDescent="0.3">
      <c r="B192" s="33"/>
      <c r="C192" s="33"/>
      <c r="D192" s="33"/>
      <c r="E192" s="33"/>
      <c r="F192" s="33"/>
      <c r="G192" s="33"/>
      <c r="H192" s="33"/>
      <c r="I192" s="33"/>
    </row>
    <row r="193" spans="2:9" x14ac:dyDescent="0.3">
      <c r="B193" s="33"/>
      <c r="C193" s="33"/>
      <c r="D193" s="33"/>
      <c r="E193" s="33"/>
      <c r="F193" s="33"/>
      <c r="G193" s="33"/>
      <c r="H193" s="33"/>
      <c r="I193" s="33"/>
    </row>
    <row r="194" spans="2:9" x14ac:dyDescent="0.3">
      <c r="B194" s="33"/>
      <c r="C194" s="33"/>
      <c r="D194" s="33"/>
      <c r="E194" s="33"/>
      <c r="F194" s="33"/>
      <c r="G194" s="33"/>
      <c r="H194" s="33"/>
      <c r="I194" s="33"/>
    </row>
    <row r="195" spans="2:9" x14ac:dyDescent="0.3">
      <c r="B195" s="33"/>
      <c r="C195" s="33"/>
      <c r="D195" s="33"/>
      <c r="E195" s="33"/>
      <c r="F195" s="33"/>
      <c r="G195" s="33"/>
      <c r="H195" s="33"/>
      <c r="I195" s="33"/>
    </row>
    <row r="196" spans="2:9" x14ac:dyDescent="0.3">
      <c r="B196" s="33"/>
      <c r="C196" s="33"/>
      <c r="D196" s="33"/>
      <c r="E196" s="33"/>
      <c r="F196" s="33"/>
      <c r="G196" s="33"/>
      <c r="H196" s="33"/>
      <c r="I196" s="33"/>
    </row>
    <row r="197" spans="2:9" x14ac:dyDescent="0.3">
      <c r="B197" s="33"/>
      <c r="C197" s="33"/>
      <c r="D197" s="33"/>
      <c r="E197" s="33"/>
      <c r="F197" s="33"/>
      <c r="G197" s="33"/>
      <c r="H197" s="33"/>
      <c r="I197" s="33"/>
    </row>
    <row r="198" spans="2:9" x14ac:dyDescent="0.3">
      <c r="B198" s="33"/>
      <c r="C198" s="33"/>
      <c r="D198" s="33"/>
      <c r="E198" s="33"/>
      <c r="F198" s="33"/>
      <c r="G198" s="33"/>
      <c r="H198" s="33"/>
      <c r="I198" s="33"/>
    </row>
    <row r="199" spans="2:9" x14ac:dyDescent="0.3">
      <c r="B199" s="33"/>
      <c r="C199" s="33"/>
      <c r="D199" s="33"/>
      <c r="E199" s="33"/>
      <c r="F199" s="33"/>
      <c r="G199" s="33"/>
      <c r="H199" s="33"/>
      <c r="I199" s="33"/>
    </row>
    <row r="200" spans="2:9" x14ac:dyDescent="0.3">
      <c r="B200" s="33"/>
      <c r="C200" s="33"/>
      <c r="D200" s="33"/>
      <c r="E200" s="33"/>
      <c r="F200" s="33"/>
      <c r="G200" s="33"/>
      <c r="H200" s="33"/>
      <c r="I200" s="33"/>
    </row>
    <row r="201" spans="2:9" x14ac:dyDescent="0.3">
      <c r="B201" s="33"/>
      <c r="C201" s="33"/>
      <c r="D201" s="33"/>
      <c r="E201" s="33"/>
      <c r="F201" s="33"/>
      <c r="G201" s="33"/>
      <c r="H201" s="33"/>
      <c r="I201" s="33"/>
    </row>
    <row r="202" spans="2:9" x14ac:dyDescent="0.3">
      <c r="B202" s="33"/>
      <c r="C202" s="33"/>
      <c r="D202" s="33"/>
      <c r="E202" s="33"/>
      <c r="F202" s="33"/>
      <c r="G202" s="33"/>
      <c r="H202" s="33"/>
      <c r="I202" s="33"/>
    </row>
    <row r="203" spans="2:9" x14ac:dyDescent="0.3">
      <c r="B203" s="33"/>
      <c r="C203" s="33"/>
      <c r="D203" s="33"/>
      <c r="E203" s="33"/>
      <c r="F203" s="33"/>
      <c r="G203" s="33"/>
      <c r="H203" s="33"/>
      <c r="I203" s="33"/>
    </row>
    <row r="204" spans="2:9" x14ac:dyDescent="0.3">
      <c r="B204" s="33"/>
      <c r="C204" s="33"/>
      <c r="D204" s="33"/>
      <c r="E204" s="33"/>
      <c r="F204" s="33"/>
      <c r="G204" s="33"/>
      <c r="H204" s="33"/>
      <c r="I204" s="33"/>
    </row>
    <row r="205" spans="2:9" x14ac:dyDescent="0.3">
      <c r="B205" s="33"/>
      <c r="C205" s="33"/>
      <c r="D205" s="33"/>
      <c r="E205" s="33"/>
      <c r="F205" s="33"/>
      <c r="G205" s="33"/>
      <c r="H205" s="33"/>
      <c r="I205" s="33"/>
    </row>
    <row r="206" spans="2:9" x14ac:dyDescent="0.3">
      <c r="B206" s="33"/>
      <c r="C206" s="33"/>
      <c r="D206" s="33"/>
      <c r="E206" s="33"/>
      <c r="F206" s="33"/>
      <c r="G206" s="33"/>
      <c r="H206" s="33"/>
      <c r="I206" s="33"/>
    </row>
    <row r="207" spans="2:9" x14ac:dyDescent="0.3">
      <c r="B207" s="33"/>
      <c r="C207" s="33"/>
      <c r="D207" s="33"/>
      <c r="E207" s="33"/>
      <c r="F207" s="33"/>
      <c r="G207" s="33"/>
      <c r="H207" s="33"/>
      <c r="I207" s="33"/>
    </row>
    <row r="208" spans="2:9" x14ac:dyDescent="0.3">
      <c r="B208" s="33"/>
      <c r="C208" s="33"/>
      <c r="D208" s="33"/>
      <c r="E208" s="33"/>
      <c r="F208" s="33"/>
      <c r="G208" s="33"/>
      <c r="H208" s="33"/>
      <c r="I208" s="33"/>
    </row>
    <row r="209" spans="2:9" x14ac:dyDescent="0.3">
      <c r="B209" s="33"/>
      <c r="C209" s="33"/>
      <c r="D209" s="33"/>
      <c r="E209" s="33"/>
      <c r="F209" s="33"/>
      <c r="G209" s="33"/>
      <c r="H209" s="33"/>
      <c r="I209" s="33"/>
    </row>
    <row r="210" spans="2:9" x14ac:dyDescent="0.3">
      <c r="B210" s="33"/>
      <c r="C210" s="33"/>
      <c r="D210" s="33"/>
      <c r="E210" s="33"/>
      <c r="F210" s="33"/>
      <c r="G210" s="33"/>
      <c r="H210" s="33"/>
      <c r="I210" s="33"/>
    </row>
    <row r="211" spans="2:9" x14ac:dyDescent="0.3">
      <c r="B211" s="33"/>
      <c r="C211" s="33"/>
      <c r="D211" s="33"/>
      <c r="E211" s="33"/>
      <c r="F211" s="33"/>
      <c r="G211" s="33"/>
      <c r="H211" s="33"/>
      <c r="I211" s="33"/>
    </row>
    <row r="212" spans="2:9" x14ac:dyDescent="0.3">
      <c r="B212" s="33"/>
      <c r="C212" s="33"/>
      <c r="D212" s="33"/>
      <c r="E212" s="33"/>
      <c r="F212" s="33"/>
      <c r="G212" s="33"/>
      <c r="H212" s="33"/>
      <c r="I212" s="33"/>
    </row>
    <row r="213" spans="2:9" x14ac:dyDescent="0.3">
      <c r="B213" s="33"/>
      <c r="C213" s="33"/>
      <c r="D213" s="33"/>
      <c r="E213" s="33"/>
      <c r="F213" s="33"/>
      <c r="G213" s="33"/>
      <c r="H213" s="33"/>
      <c r="I213" s="33"/>
    </row>
    <row r="214" spans="2:9" x14ac:dyDescent="0.3">
      <c r="B214" s="33"/>
      <c r="C214" s="33"/>
      <c r="D214" s="33"/>
      <c r="E214" s="33"/>
      <c r="F214" s="33"/>
      <c r="G214" s="33"/>
      <c r="H214" s="33"/>
      <c r="I214" s="33"/>
    </row>
    <row r="215" spans="2:9" x14ac:dyDescent="0.3">
      <c r="B215" s="33"/>
      <c r="C215" s="33"/>
      <c r="D215" s="33"/>
      <c r="E215" s="33"/>
      <c r="F215" s="33"/>
      <c r="G215" s="33"/>
      <c r="H215" s="33"/>
      <c r="I215" s="33"/>
    </row>
    <row r="216" spans="2:9" x14ac:dyDescent="0.3">
      <c r="B216" s="33"/>
      <c r="C216" s="33"/>
      <c r="D216" s="33"/>
      <c r="E216" s="33"/>
      <c r="F216" s="33"/>
      <c r="G216" s="33"/>
      <c r="H216" s="33"/>
      <c r="I216" s="33"/>
    </row>
    <row r="217" spans="2:9" x14ac:dyDescent="0.3">
      <c r="B217" s="33"/>
      <c r="C217" s="33"/>
      <c r="D217" s="33"/>
      <c r="E217" s="33"/>
      <c r="F217" s="33"/>
      <c r="G217" s="33"/>
      <c r="H217" s="33"/>
      <c r="I217" s="33"/>
    </row>
    <row r="218" spans="2:9" x14ac:dyDescent="0.3">
      <c r="B218" s="33"/>
      <c r="C218" s="33"/>
      <c r="D218" s="33"/>
      <c r="E218" s="33"/>
      <c r="F218" s="33"/>
      <c r="G218" s="33"/>
      <c r="H218" s="33"/>
      <c r="I218" s="33"/>
    </row>
    <row r="219" spans="2:9" x14ac:dyDescent="0.3">
      <c r="B219" s="33"/>
      <c r="C219" s="33"/>
      <c r="D219" s="33"/>
      <c r="E219" s="33"/>
      <c r="F219" s="33"/>
      <c r="G219" s="33"/>
      <c r="H219" s="33"/>
      <c r="I219" s="33"/>
    </row>
    <row r="220" spans="2:9" x14ac:dyDescent="0.3">
      <c r="B220" s="33"/>
      <c r="C220" s="33"/>
      <c r="D220" s="33"/>
      <c r="E220" s="33"/>
      <c r="F220" s="33"/>
      <c r="G220" s="33"/>
      <c r="H220" s="33"/>
      <c r="I220" s="33"/>
    </row>
    <row r="221" spans="2:9" x14ac:dyDescent="0.3">
      <c r="B221" s="33"/>
      <c r="C221" s="33"/>
      <c r="D221" s="33"/>
      <c r="E221" s="33"/>
      <c r="F221" s="33"/>
      <c r="G221" s="33"/>
      <c r="H221" s="33"/>
      <c r="I221" s="33"/>
    </row>
    <row r="222" spans="2:9" x14ac:dyDescent="0.3">
      <c r="B222" s="33"/>
      <c r="C222" s="33"/>
      <c r="D222" s="33"/>
      <c r="E222" s="33"/>
      <c r="F222" s="33"/>
      <c r="G222" s="33"/>
      <c r="H222" s="33"/>
      <c r="I222" s="33"/>
    </row>
    <row r="223" spans="2:9" x14ac:dyDescent="0.3">
      <c r="B223" s="33"/>
      <c r="C223" s="33"/>
      <c r="D223" s="33"/>
      <c r="E223" s="33"/>
      <c r="F223" s="33"/>
      <c r="G223" s="33"/>
      <c r="H223" s="33"/>
      <c r="I223" s="33"/>
    </row>
  </sheetData>
  <phoneticPr fontId="0" type="noConversion"/>
  <pageMargins left="0.75" right="0.75" top="1" bottom="1" header="0.5" footer="0.5"/>
  <pageSetup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L72"/>
  <sheetViews>
    <sheetView showGridLines="0" workbookViewId="0">
      <selection activeCell="B2" sqref="B2"/>
    </sheetView>
  </sheetViews>
  <sheetFormatPr defaultColWidth="9" defaultRowHeight="13.8" x14ac:dyDescent="0.25"/>
  <cols>
    <col min="1" max="1" width="7.09765625" style="33" customWidth="1"/>
    <col min="2" max="2" width="9" style="33"/>
    <col min="3" max="3" width="17.796875" style="33" customWidth="1"/>
    <col min="4" max="4" width="27.5" style="33" bestFit="1" customWidth="1"/>
    <col min="5" max="5" width="20.69921875" style="33" bestFit="1" customWidth="1"/>
    <col min="6" max="10" width="9" style="33"/>
    <col min="11" max="11" width="12.5" style="33" bestFit="1" customWidth="1"/>
    <col min="12" max="16384" width="9" style="33"/>
  </cols>
  <sheetData>
    <row r="2" spans="2:12" x14ac:dyDescent="0.25">
      <c r="B2" s="36"/>
    </row>
    <row r="3" spans="2:12" x14ac:dyDescent="0.25">
      <c r="B3" s="36" t="s">
        <v>114</v>
      </c>
    </row>
    <row r="4" spans="2:12" x14ac:dyDescent="0.25">
      <c r="B4" s="36"/>
    </row>
    <row r="5" spans="2:12" x14ac:dyDescent="0.25">
      <c r="B5" s="36"/>
    </row>
    <row r="6" spans="2:12" x14ac:dyDescent="0.25">
      <c r="B6" s="36"/>
    </row>
    <row r="7" spans="2:12" ht="21" x14ac:dyDescent="0.4">
      <c r="B7" s="26" t="s">
        <v>216</v>
      </c>
    </row>
    <row r="8" spans="2:12" ht="15.6" x14ac:dyDescent="0.3">
      <c r="B8" s="62" t="s">
        <v>133</v>
      </c>
    </row>
    <row r="10" spans="2:12" ht="16.2" thickBot="1" x14ac:dyDescent="0.35">
      <c r="C10" s="39" t="s">
        <v>217</v>
      </c>
    </row>
    <row r="11" spans="2:12" ht="14.4" thickBot="1" x14ac:dyDescent="0.3">
      <c r="C11" s="65" t="s">
        <v>48</v>
      </c>
      <c r="D11" s="66" t="s">
        <v>52</v>
      </c>
      <c r="E11" s="67" t="s">
        <v>49</v>
      </c>
      <c r="K11" s="41"/>
      <c r="L11" s="41"/>
    </row>
    <row r="12" spans="2:12" x14ac:dyDescent="0.25">
      <c r="C12" s="42" t="s">
        <v>53</v>
      </c>
      <c r="D12" s="102" t="s">
        <v>192</v>
      </c>
      <c r="E12" s="44">
        <v>200</v>
      </c>
      <c r="K12" s="41"/>
      <c r="L12" s="41"/>
    </row>
    <row r="13" spans="2:12" x14ac:dyDescent="0.25">
      <c r="C13" s="45" t="s">
        <v>54</v>
      </c>
      <c r="D13" s="103" t="s">
        <v>193</v>
      </c>
      <c r="E13" s="47">
        <v>150</v>
      </c>
      <c r="K13" s="41"/>
      <c r="L13" s="41"/>
    </row>
    <row r="14" spans="2:12" ht="14.4" thickBot="1" x14ac:dyDescent="0.3">
      <c r="C14" s="48" t="s">
        <v>55</v>
      </c>
      <c r="D14" s="104" t="s">
        <v>194</v>
      </c>
      <c r="E14" s="50">
        <v>95</v>
      </c>
    </row>
    <row r="17" spans="3:5" ht="16.2" thickBot="1" x14ac:dyDescent="0.35">
      <c r="C17" s="39" t="s">
        <v>80</v>
      </c>
    </row>
    <row r="18" spans="3:5" ht="14.4" thickBot="1" x14ac:dyDescent="0.3">
      <c r="C18" s="65" t="s">
        <v>50</v>
      </c>
      <c r="D18" s="66" t="s">
        <v>51</v>
      </c>
    </row>
    <row r="19" spans="3:5" x14ac:dyDescent="0.25">
      <c r="C19" s="42" t="s">
        <v>74</v>
      </c>
      <c r="D19" s="51" t="s">
        <v>62</v>
      </c>
    </row>
    <row r="20" spans="3:5" x14ac:dyDescent="0.25">
      <c r="C20" s="45" t="s">
        <v>76</v>
      </c>
      <c r="D20" s="52" t="s">
        <v>64</v>
      </c>
    </row>
    <row r="21" spans="3:5" x14ac:dyDescent="0.25">
      <c r="C21" s="45" t="s">
        <v>75</v>
      </c>
      <c r="D21" s="52" t="s">
        <v>65</v>
      </c>
    </row>
    <row r="22" spans="3:5" x14ac:dyDescent="0.25">
      <c r="C22" s="45" t="s">
        <v>67</v>
      </c>
      <c r="D22" s="52" t="s">
        <v>57</v>
      </c>
    </row>
    <row r="23" spans="3:5" x14ac:dyDescent="0.25">
      <c r="C23" s="45" t="s">
        <v>68</v>
      </c>
      <c r="D23" s="52" t="s">
        <v>56</v>
      </c>
    </row>
    <row r="24" spans="3:5" x14ac:dyDescent="0.25">
      <c r="C24" s="45" t="s">
        <v>69</v>
      </c>
      <c r="D24" s="52" t="s">
        <v>58</v>
      </c>
    </row>
    <row r="25" spans="3:5" x14ac:dyDescent="0.25">
      <c r="C25" s="45" t="s">
        <v>70</v>
      </c>
      <c r="D25" s="52" t="s">
        <v>59</v>
      </c>
    </row>
    <row r="26" spans="3:5" x14ac:dyDescent="0.25">
      <c r="C26" s="45" t="s">
        <v>71</v>
      </c>
      <c r="D26" s="52" t="s">
        <v>60</v>
      </c>
    </row>
    <row r="27" spans="3:5" x14ac:dyDescent="0.25">
      <c r="C27" s="45" t="s">
        <v>72</v>
      </c>
      <c r="D27" s="52" t="s">
        <v>61</v>
      </c>
    </row>
    <row r="28" spans="3:5" ht="14.4" thickBot="1" x14ac:dyDescent="0.3">
      <c r="C28" s="48" t="s">
        <v>73</v>
      </c>
      <c r="D28" s="53" t="s">
        <v>63</v>
      </c>
    </row>
    <row r="29" spans="3:5" x14ac:dyDescent="0.25">
      <c r="C29" s="46"/>
      <c r="D29" s="54"/>
    </row>
    <row r="31" spans="3:5" ht="16.2" thickBot="1" x14ac:dyDescent="0.35">
      <c r="C31" s="39" t="s">
        <v>81</v>
      </c>
    </row>
    <row r="32" spans="3:5" ht="14.4" thickBot="1" x14ac:dyDescent="0.3">
      <c r="C32" s="65" t="s">
        <v>5</v>
      </c>
      <c r="D32" s="66" t="s">
        <v>6</v>
      </c>
      <c r="E32" s="123" t="s">
        <v>7</v>
      </c>
    </row>
    <row r="33" spans="3:5" x14ac:dyDescent="0.25">
      <c r="C33" s="55">
        <v>1</v>
      </c>
      <c r="D33" s="43" t="s">
        <v>8</v>
      </c>
      <c r="E33" s="122" t="s">
        <v>192</v>
      </c>
    </row>
    <row r="34" spans="3:5" x14ac:dyDescent="0.25">
      <c r="C34" s="56">
        <v>2</v>
      </c>
      <c r="D34" s="46" t="s">
        <v>9</v>
      </c>
      <c r="E34" s="122" t="s">
        <v>193</v>
      </c>
    </row>
    <row r="35" spans="3:5" x14ac:dyDescent="0.25">
      <c r="C35" s="56">
        <v>3</v>
      </c>
      <c r="D35" s="46" t="s">
        <v>10</v>
      </c>
      <c r="E35" s="122" t="s">
        <v>194</v>
      </c>
    </row>
    <row r="36" spans="3:5" x14ac:dyDescent="0.25">
      <c r="C36" s="56">
        <v>4</v>
      </c>
      <c r="D36" s="46" t="s">
        <v>11</v>
      </c>
      <c r="E36" s="122" t="s">
        <v>192</v>
      </c>
    </row>
    <row r="37" spans="3:5" x14ac:dyDescent="0.25">
      <c r="C37" s="56">
        <v>5</v>
      </c>
      <c r="D37" s="46" t="s">
        <v>12</v>
      </c>
      <c r="E37" s="122" t="s">
        <v>193</v>
      </c>
    </row>
    <row r="38" spans="3:5" x14ac:dyDescent="0.25">
      <c r="C38" s="56">
        <v>6</v>
      </c>
      <c r="D38" s="46" t="s">
        <v>13</v>
      </c>
      <c r="E38" s="122" t="s">
        <v>194</v>
      </c>
    </row>
    <row r="39" spans="3:5" x14ac:dyDescent="0.25">
      <c r="C39" s="56">
        <v>7</v>
      </c>
      <c r="D39" s="46" t="s">
        <v>14</v>
      </c>
      <c r="E39" s="122" t="s">
        <v>192</v>
      </c>
    </row>
    <row r="40" spans="3:5" x14ac:dyDescent="0.25">
      <c r="C40" s="56">
        <v>8</v>
      </c>
      <c r="D40" s="46" t="s">
        <v>15</v>
      </c>
      <c r="E40" s="122" t="s">
        <v>193</v>
      </c>
    </row>
    <row r="41" spans="3:5" x14ac:dyDescent="0.25">
      <c r="C41" s="56">
        <v>9</v>
      </c>
      <c r="D41" s="46" t="s">
        <v>16</v>
      </c>
      <c r="E41" s="122" t="s">
        <v>194</v>
      </c>
    </row>
    <row r="42" spans="3:5" x14ac:dyDescent="0.25">
      <c r="C42" s="56">
        <v>10</v>
      </c>
      <c r="D42" s="46" t="s">
        <v>17</v>
      </c>
      <c r="E42" s="122" t="s">
        <v>192</v>
      </c>
    </row>
    <row r="43" spans="3:5" x14ac:dyDescent="0.25">
      <c r="C43" s="56">
        <v>11</v>
      </c>
      <c r="D43" s="46" t="s">
        <v>18</v>
      </c>
      <c r="E43" s="122" t="s">
        <v>193</v>
      </c>
    </row>
    <row r="44" spans="3:5" x14ac:dyDescent="0.25">
      <c r="C44" s="56">
        <v>12</v>
      </c>
      <c r="D44" s="46" t="s">
        <v>19</v>
      </c>
      <c r="E44" s="122" t="s">
        <v>194</v>
      </c>
    </row>
    <row r="45" spans="3:5" x14ac:dyDescent="0.25">
      <c r="C45" s="56">
        <v>13</v>
      </c>
      <c r="D45" s="46" t="s">
        <v>20</v>
      </c>
      <c r="E45" s="122" t="s">
        <v>192</v>
      </c>
    </row>
    <row r="46" spans="3:5" x14ac:dyDescent="0.25">
      <c r="C46" s="56">
        <v>14</v>
      </c>
      <c r="D46" s="46" t="s">
        <v>21</v>
      </c>
      <c r="E46" s="122" t="s">
        <v>193</v>
      </c>
    </row>
    <row r="47" spans="3:5" x14ac:dyDescent="0.25">
      <c r="C47" s="56">
        <v>15</v>
      </c>
      <c r="D47" s="46" t="s">
        <v>22</v>
      </c>
      <c r="E47" s="122" t="s">
        <v>194</v>
      </c>
    </row>
    <row r="48" spans="3:5" x14ac:dyDescent="0.25">
      <c r="C48" s="56">
        <v>16</v>
      </c>
      <c r="D48" s="46" t="s">
        <v>23</v>
      </c>
      <c r="E48" s="122" t="s">
        <v>192</v>
      </c>
    </row>
    <row r="49" spans="3:5" x14ac:dyDescent="0.25">
      <c r="C49" s="56">
        <v>17</v>
      </c>
      <c r="D49" s="46" t="s">
        <v>24</v>
      </c>
      <c r="E49" s="122" t="s">
        <v>193</v>
      </c>
    </row>
    <row r="50" spans="3:5" x14ac:dyDescent="0.25">
      <c r="C50" s="56">
        <v>18</v>
      </c>
      <c r="D50" s="46" t="s">
        <v>25</v>
      </c>
      <c r="E50" s="122" t="s">
        <v>194</v>
      </c>
    </row>
    <row r="51" spans="3:5" x14ac:dyDescent="0.25">
      <c r="C51" s="56">
        <v>19</v>
      </c>
      <c r="D51" s="46" t="s">
        <v>26</v>
      </c>
      <c r="E51" s="122" t="s">
        <v>192</v>
      </c>
    </row>
    <row r="52" spans="3:5" x14ac:dyDescent="0.25">
      <c r="C52" s="56">
        <v>20</v>
      </c>
      <c r="D52" s="46" t="s">
        <v>27</v>
      </c>
      <c r="E52" s="122" t="s">
        <v>193</v>
      </c>
    </row>
    <row r="53" spans="3:5" x14ac:dyDescent="0.25">
      <c r="C53" s="56">
        <v>21</v>
      </c>
      <c r="D53" s="46" t="s">
        <v>28</v>
      </c>
      <c r="E53" s="122" t="s">
        <v>194</v>
      </c>
    </row>
    <row r="54" spans="3:5" x14ac:dyDescent="0.25">
      <c r="C54" s="56">
        <v>22</v>
      </c>
      <c r="D54" s="46" t="s">
        <v>29</v>
      </c>
      <c r="E54" s="122" t="s">
        <v>192</v>
      </c>
    </row>
    <row r="55" spans="3:5" x14ac:dyDescent="0.25">
      <c r="C55" s="56">
        <v>23</v>
      </c>
      <c r="D55" s="46" t="s">
        <v>30</v>
      </c>
      <c r="E55" s="122" t="s">
        <v>193</v>
      </c>
    </row>
    <row r="56" spans="3:5" x14ac:dyDescent="0.25">
      <c r="C56" s="56">
        <v>24</v>
      </c>
      <c r="D56" s="46" t="s">
        <v>31</v>
      </c>
      <c r="E56" s="122" t="s">
        <v>194</v>
      </c>
    </row>
    <row r="57" spans="3:5" x14ac:dyDescent="0.25">
      <c r="C57" s="56">
        <v>25</v>
      </c>
      <c r="D57" s="46" t="s">
        <v>32</v>
      </c>
      <c r="E57" s="122" t="s">
        <v>192</v>
      </c>
    </row>
    <row r="58" spans="3:5" x14ac:dyDescent="0.25">
      <c r="C58" s="56">
        <v>26</v>
      </c>
      <c r="D58" s="46" t="s">
        <v>33</v>
      </c>
      <c r="E58" s="122" t="s">
        <v>193</v>
      </c>
    </row>
    <row r="59" spans="3:5" x14ac:dyDescent="0.25">
      <c r="C59" s="56">
        <v>27</v>
      </c>
      <c r="D59" s="46" t="s">
        <v>34</v>
      </c>
      <c r="E59" s="122" t="s">
        <v>194</v>
      </c>
    </row>
    <row r="60" spans="3:5" x14ac:dyDescent="0.25">
      <c r="C60" s="56">
        <v>28</v>
      </c>
      <c r="D60" s="46" t="s">
        <v>35</v>
      </c>
      <c r="E60" s="122" t="s">
        <v>192</v>
      </c>
    </row>
    <row r="61" spans="3:5" x14ac:dyDescent="0.25">
      <c r="C61" s="56">
        <v>29</v>
      </c>
      <c r="D61" s="46" t="s">
        <v>36</v>
      </c>
      <c r="E61" s="122" t="s">
        <v>193</v>
      </c>
    </row>
    <row r="62" spans="3:5" x14ac:dyDescent="0.25">
      <c r="C62" s="56">
        <v>30</v>
      </c>
      <c r="D62" s="46" t="s">
        <v>37</v>
      </c>
      <c r="E62" s="122" t="s">
        <v>194</v>
      </c>
    </row>
    <row r="63" spans="3:5" x14ac:dyDescent="0.25">
      <c r="C63" s="56">
        <v>31</v>
      </c>
      <c r="D63" s="46" t="s">
        <v>38</v>
      </c>
      <c r="E63" s="122" t="s">
        <v>192</v>
      </c>
    </row>
    <row r="64" spans="3:5" x14ac:dyDescent="0.25">
      <c r="C64" s="56">
        <v>32</v>
      </c>
      <c r="D64" s="46" t="s">
        <v>39</v>
      </c>
      <c r="E64" s="122" t="s">
        <v>193</v>
      </c>
    </row>
    <row r="65" spans="3:5" x14ac:dyDescent="0.25">
      <c r="C65" s="56">
        <v>33</v>
      </c>
      <c r="D65" s="46" t="s">
        <v>40</v>
      </c>
      <c r="E65" s="122" t="s">
        <v>194</v>
      </c>
    </row>
    <row r="66" spans="3:5" x14ac:dyDescent="0.25">
      <c r="C66" s="56">
        <v>34</v>
      </c>
      <c r="D66" s="46" t="s">
        <v>41</v>
      </c>
      <c r="E66" s="122" t="s">
        <v>192</v>
      </c>
    </row>
    <row r="67" spans="3:5" x14ac:dyDescent="0.25">
      <c r="C67" s="56">
        <v>35</v>
      </c>
      <c r="D67" s="46" t="s">
        <v>42</v>
      </c>
      <c r="E67" s="122" t="s">
        <v>193</v>
      </c>
    </row>
    <row r="68" spans="3:5" x14ac:dyDescent="0.25">
      <c r="C68" s="56">
        <v>36</v>
      </c>
      <c r="D68" s="46" t="s">
        <v>43</v>
      </c>
      <c r="E68" s="122" t="s">
        <v>194</v>
      </c>
    </row>
    <row r="69" spans="3:5" x14ac:dyDescent="0.25">
      <c r="C69" s="56">
        <v>37</v>
      </c>
      <c r="D69" s="46" t="s">
        <v>44</v>
      </c>
      <c r="E69" s="122" t="s">
        <v>192</v>
      </c>
    </row>
    <row r="70" spans="3:5" x14ac:dyDescent="0.25">
      <c r="C70" s="56">
        <v>38</v>
      </c>
      <c r="D70" s="46" t="s">
        <v>45</v>
      </c>
      <c r="E70" s="122" t="s">
        <v>193</v>
      </c>
    </row>
    <row r="71" spans="3:5" x14ac:dyDescent="0.25">
      <c r="C71" s="56">
        <v>39</v>
      </c>
      <c r="D71" s="46" t="s">
        <v>46</v>
      </c>
      <c r="E71" s="122" t="s">
        <v>194</v>
      </c>
    </row>
    <row r="72" spans="3:5" ht="14.4" thickBot="1" x14ac:dyDescent="0.3">
      <c r="C72" s="57">
        <v>40</v>
      </c>
      <c r="D72" s="49" t="s">
        <v>47</v>
      </c>
      <c r="E72" s="124" t="s">
        <v>192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B2:I133"/>
  <sheetViews>
    <sheetView showGridLines="0" zoomScaleNormal="100" workbookViewId="0">
      <selection activeCell="B2" sqref="B2"/>
    </sheetView>
  </sheetViews>
  <sheetFormatPr defaultColWidth="9" defaultRowHeight="13.8" x14ac:dyDescent="0.25"/>
  <cols>
    <col min="1" max="1" width="7.5" style="33" customWidth="1"/>
    <col min="2" max="2" width="22.19921875" style="33" customWidth="1"/>
    <col min="3" max="3" width="13.69921875" style="33" customWidth="1"/>
    <col min="4" max="4" width="22.19921875" style="33" customWidth="1"/>
    <col min="5" max="5" width="10.5" style="33" customWidth="1"/>
    <col min="6" max="6" width="12.296875" style="33" customWidth="1"/>
    <col min="7" max="7" width="12.5" style="33" customWidth="1"/>
    <col min="8" max="8" width="9" style="33"/>
    <col min="9" max="9" width="19.59765625" style="33" bestFit="1" customWidth="1"/>
    <col min="10" max="10" width="13.19921875" style="33" bestFit="1" customWidth="1"/>
    <col min="11" max="11" width="9" style="33"/>
    <col min="12" max="12" width="22.19921875" style="33" bestFit="1" customWidth="1"/>
    <col min="13" max="16384" width="9" style="33"/>
  </cols>
  <sheetData>
    <row r="2" spans="2:9" x14ac:dyDescent="0.25">
      <c r="B2" s="36"/>
    </row>
    <row r="3" spans="2:9" x14ac:dyDescent="0.25">
      <c r="B3" s="36" t="s">
        <v>111</v>
      </c>
    </row>
    <row r="4" spans="2:9" x14ac:dyDescent="0.25">
      <c r="I4"/>
    </row>
    <row r="5" spans="2:9" ht="14.4" thickBot="1" x14ac:dyDescent="0.3"/>
    <row r="6" spans="2:9" ht="97.5" customHeight="1" x14ac:dyDescent="0.25">
      <c r="B6" s="158" t="s">
        <v>216</v>
      </c>
      <c r="C6" s="159"/>
      <c r="D6" s="159"/>
      <c r="E6" s="159"/>
      <c r="F6" s="159"/>
      <c r="G6" s="160"/>
    </row>
    <row r="7" spans="2:9" x14ac:dyDescent="0.25">
      <c r="B7" s="161">
        <f ca="1">NOW()</f>
        <v>44307.291239699072</v>
      </c>
      <c r="C7" s="162"/>
      <c r="D7" s="162"/>
      <c r="E7" s="162"/>
      <c r="F7" s="162"/>
      <c r="G7" s="163"/>
    </row>
    <row r="8" spans="2:9" ht="14.4" thickBot="1" x14ac:dyDescent="0.3">
      <c r="B8" s="58"/>
      <c r="C8" s="49"/>
      <c r="D8" s="49"/>
      <c r="E8" s="49"/>
      <c r="F8" s="49"/>
      <c r="G8" s="53"/>
    </row>
    <row r="9" spans="2:9" ht="36.75" customHeight="1" thickBot="1" x14ac:dyDescent="0.3">
      <c r="B9" s="68" t="s">
        <v>66</v>
      </c>
      <c r="C9" s="69" t="s">
        <v>5</v>
      </c>
      <c r="D9" s="69" t="s">
        <v>51</v>
      </c>
      <c r="E9" s="69" t="s">
        <v>50</v>
      </c>
      <c r="F9" s="70" t="s">
        <v>0</v>
      </c>
      <c r="G9" s="71" t="s">
        <v>3</v>
      </c>
    </row>
    <row r="10" spans="2:9" x14ac:dyDescent="0.25">
      <c r="B10" s="21"/>
      <c r="C10" s="21"/>
      <c r="D10" s="21"/>
      <c r="E10" s="21"/>
      <c r="F10" s="21"/>
      <c r="G10" s="21"/>
    </row>
    <row r="11" spans="2:9" x14ac:dyDescent="0.25">
      <c r="B11" s="21"/>
      <c r="C11" s="21"/>
      <c r="D11" s="21"/>
      <c r="E11" s="21"/>
      <c r="F11" s="21"/>
      <c r="G11" s="21"/>
    </row>
    <row r="12" spans="2:9" x14ac:dyDescent="0.25">
      <c r="B12" s="21"/>
      <c r="C12" s="21"/>
      <c r="D12" s="21"/>
      <c r="E12" s="21"/>
      <c r="F12" s="21"/>
      <c r="G12" s="21"/>
    </row>
    <row r="13" spans="2:9" x14ac:dyDescent="0.25">
      <c r="B13" s="21"/>
      <c r="C13" s="21"/>
      <c r="D13" s="21"/>
      <c r="E13" s="21"/>
      <c r="F13" s="21"/>
      <c r="G13" s="21"/>
    </row>
    <row r="14" spans="2:9" x14ac:dyDescent="0.25">
      <c r="B14" s="21"/>
      <c r="C14" s="21"/>
      <c r="D14" s="21"/>
      <c r="E14" s="21"/>
      <c r="F14" s="21"/>
      <c r="G14" s="21"/>
    </row>
    <row r="15" spans="2:9" x14ac:dyDescent="0.25">
      <c r="B15" s="21"/>
      <c r="C15" s="21"/>
      <c r="D15" s="21"/>
      <c r="E15" s="21"/>
      <c r="F15" s="21"/>
      <c r="G15" s="21"/>
    </row>
    <row r="16" spans="2:9" x14ac:dyDescent="0.25">
      <c r="B16" s="21"/>
      <c r="C16" s="21"/>
      <c r="D16" s="21"/>
      <c r="E16" s="21"/>
      <c r="F16" s="21"/>
      <c r="G16" s="21"/>
    </row>
    <row r="17" spans="2:7" x14ac:dyDescent="0.25">
      <c r="B17" s="21"/>
      <c r="C17" s="21"/>
      <c r="D17" s="21"/>
      <c r="E17" s="21"/>
      <c r="F17" s="21"/>
      <c r="G17" s="21"/>
    </row>
    <row r="18" spans="2:7" x14ac:dyDescent="0.25">
      <c r="B18" s="21"/>
      <c r="C18" s="21"/>
      <c r="D18" s="21"/>
      <c r="E18" s="21"/>
      <c r="F18" s="21"/>
      <c r="G18" s="21"/>
    </row>
    <row r="19" spans="2:7" x14ac:dyDescent="0.25">
      <c r="B19" s="21"/>
      <c r="C19" s="21"/>
      <c r="D19" s="21"/>
      <c r="E19" s="21"/>
      <c r="F19" s="21"/>
      <c r="G19" s="21"/>
    </row>
    <row r="20" spans="2:7" x14ac:dyDescent="0.25">
      <c r="B20" s="21"/>
      <c r="C20" s="21"/>
      <c r="D20" s="21"/>
      <c r="E20" s="21"/>
      <c r="F20" s="21"/>
      <c r="G20" s="21"/>
    </row>
    <row r="21" spans="2:7" x14ac:dyDescent="0.25">
      <c r="B21" s="21"/>
      <c r="C21" s="21"/>
      <c r="D21" s="21"/>
      <c r="E21" s="21"/>
      <c r="F21" s="21"/>
      <c r="G21" s="21"/>
    </row>
    <row r="22" spans="2:7" x14ac:dyDescent="0.25">
      <c r="B22" s="21"/>
      <c r="C22" s="21"/>
      <c r="D22" s="21"/>
      <c r="E22" s="21"/>
      <c r="F22" s="21"/>
      <c r="G22" s="21"/>
    </row>
    <row r="23" spans="2:7" x14ac:dyDescent="0.25">
      <c r="B23" s="21"/>
      <c r="C23" s="21"/>
      <c r="D23" s="21"/>
      <c r="E23" s="21"/>
      <c r="F23" s="21"/>
      <c r="G23" s="21"/>
    </row>
    <row r="24" spans="2:7" x14ac:dyDescent="0.25">
      <c r="B24" s="21"/>
      <c r="C24" s="21"/>
      <c r="D24" s="21"/>
      <c r="E24" s="21"/>
      <c r="F24" s="21"/>
      <c r="G24" s="21"/>
    </row>
    <row r="25" spans="2:7" x14ac:dyDescent="0.25">
      <c r="B25" s="21"/>
      <c r="C25" s="21"/>
      <c r="D25" s="21"/>
      <c r="E25" s="21"/>
      <c r="F25" s="21"/>
      <c r="G25" s="21"/>
    </row>
    <row r="26" spans="2:7" x14ac:dyDescent="0.25">
      <c r="B26" s="21"/>
      <c r="C26" s="21"/>
      <c r="D26" s="21"/>
      <c r="E26" s="21"/>
      <c r="F26" s="21"/>
      <c r="G26" s="21"/>
    </row>
    <row r="27" spans="2:7" x14ac:dyDescent="0.25">
      <c r="B27" s="21"/>
      <c r="C27" s="21"/>
      <c r="D27" s="21"/>
      <c r="E27" s="21"/>
      <c r="F27" s="21"/>
      <c r="G27" s="21"/>
    </row>
    <row r="28" spans="2:7" x14ac:dyDescent="0.25">
      <c r="B28" s="21"/>
      <c r="C28" s="21"/>
      <c r="D28" s="21"/>
      <c r="E28" s="21"/>
      <c r="F28" s="21"/>
      <c r="G28" s="21"/>
    </row>
    <row r="29" spans="2:7" x14ac:dyDescent="0.25">
      <c r="B29" s="21"/>
      <c r="C29" s="21"/>
      <c r="D29" s="21"/>
      <c r="E29" s="21"/>
      <c r="F29" s="21"/>
      <c r="G29" s="21"/>
    </row>
    <row r="30" spans="2:7" x14ac:dyDescent="0.25">
      <c r="B30" s="21"/>
      <c r="C30" s="21"/>
      <c r="D30" s="21"/>
      <c r="E30" s="21"/>
      <c r="F30" s="21"/>
      <c r="G30" s="21"/>
    </row>
    <row r="31" spans="2:7" x14ac:dyDescent="0.25">
      <c r="B31" s="21"/>
      <c r="C31" s="21"/>
      <c r="D31" s="21"/>
      <c r="E31" s="21"/>
      <c r="F31" s="21"/>
      <c r="G31" s="21"/>
    </row>
    <row r="32" spans="2:7" x14ac:dyDescent="0.25">
      <c r="B32" s="21"/>
      <c r="C32" s="21"/>
      <c r="D32" s="21"/>
      <c r="E32" s="21"/>
      <c r="F32" s="21"/>
      <c r="G32" s="21"/>
    </row>
    <row r="33" spans="2:7" x14ac:dyDescent="0.25">
      <c r="B33" s="21"/>
      <c r="C33" s="21"/>
      <c r="D33" s="21"/>
      <c r="E33" s="21"/>
      <c r="F33" s="21"/>
      <c r="G33" s="21"/>
    </row>
    <row r="34" spans="2:7" x14ac:dyDescent="0.25">
      <c r="B34" s="21"/>
      <c r="C34" s="21"/>
      <c r="D34" s="21"/>
      <c r="E34" s="21"/>
      <c r="F34" s="21"/>
      <c r="G34" s="21"/>
    </row>
    <row r="35" spans="2:7" x14ac:dyDescent="0.25">
      <c r="B35" s="21"/>
      <c r="C35" s="21"/>
      <c r="D35" s="21"/>
      <c r="E35" s="21"/>
      <c r="F35" s="21"/>
      <c r="G35" s="21"/>
    </row>
    <row r="36" spans="2:7" x14ac:dyDescent="0.25">
      <c r="B36" s="21"/>
      <c r="C36" s="21"/>
      <c r="D36" s="21"/>
      <c r="E36" s="21"/>
      <c r="F36" s="21"/>
      <c r="G36" s="21"/>
    </row>
    <row r="37" spans="2:7" x14ac:dyDescent="0.25">
      <c r="B37" s="21"/>
      <c r="C37" s="21"/>
      <c r="D37" s="21"/>
      <c r="E37" s="21"/>
      <c r="F37" s="21"/>
      <c r="G37" s="21"/>
    </row>
    <row r="38" spans="2:7" x14ac:dyDescent="0.25">
      <c r="B38" s="21"/>
      <c r="C38" s="21"/>
      <c r="D38" s="21"/>
      <c r="E38" s="21"/>
      <c r="F38" s="21"/>
      <c r="G38" s="21"/>
    </row>
    <row r="39" spans="2:7" x14ac:dyDescent="0.25">
      <c r="B39" s="21"/>
      <c r="C39" s="21"/>
      <c r="D39" s="21"/>
      <c r="E39" s="21"/>
      <c r="F39" s="21"/>
      <c r="G39" s="21"/>
    </row>
    <row r="40" spans="2:7" x14ac:dyDescent="0.25">
      <c r="B40" s="21"/>
      <c r="C40" s="21"/>
      <c r="D40" s="21"/>
      <c r="E40" s="21"/>
      <c r="F40" s="21"/>
      <c r="G40" s="21"/>
    </row>
    <row r="41" spans="2:7" x14ac:dyDescent="0.25">
      <c r="B41" s="21"/>
      <c r="C41" s="21"/>
      <c r="D41" s="21"/>
      <c r="E41" s="21"/>
      <c r="F41" s="21"/>
      <c r="G41" s="21"/>
    </row>
    <row r="42" spans="2:7" x14ac:dyDescent="0.25">
      <c r="B42" s="21"/>
      <c r="C42" s="21"/>
      <c r="D42" s="21"/>
      <c r="E42" s="21"/>
      <c r="F42" s="21"/>
      <c r="G42" s="21"/>
    </row>
    <row r="43" spans="2:7" x14ac:dyDescent="0.25">
      <c r="B43" s="21"/>
      <c r="C43" s="21"/>
      <c r="D43" s="21"/>
      <c r="E43" s="21"/>
      <c r="F43" s="21"/>
      <c r="G43" s="21"/>
    </row>
    <row r="44" spans="2:7" x14ac:dyDescent="0.25">
      <c r="B44" s="21"/>
      <c r="C44" s="21"/>
      <c r="D44" s="21"/>
      <c r="E44" s="21"/>
      <c r="F44" s="21"/>
      <c r="G44" s="21"/>
    </row>
    <row r="45" spans="2:7" x14ac:dyDescent="0.25">
      <c r="B45" s="21"/>
      <c r="C45" s="21"/>
      <c r="D45" s="21"/>
      <c r="E45" s="21"/>
      <c r="F45" s="21"/>
      <c r="G45" s="21"/>
    </row>
    <row r="46" spans="2:7" x14ac:dyDescent="0.25">
      <c r="B46" s="21"/>
      <c r="C46" s="21"/>
      <c r="D46" s="21"/>
      <c r="E46" s="21"/>
      <c r="F46" s="21"/>
      <c r="G46" s="21"/>
    </row>
    <row r="47" spans="2:7" x14ac:dyDescent="0.25">
      <c r="B47" s="21"/>
      <c r="C47" s="21"/>
      <c r="D47" s="21"/>
      <c r="E47" s="21"/>
      <c r="F47" s="21"/>
      <c r="G47" s="21"/>
    </row>
    <row r="48" spans="2:7" x14ac:dyDescent="0.25">
      <c r="B48" s="21"/>
      <c r="C48" s="21"/>
      <c r="D48" s="21"/>
      <c r="E48" s="21"/>
      <c r="F48" s="21"/>
      <c r="G48" s="21"/>
    </row>
    <row r="49" spans="2:7" x14ac:dyDescent="0.25">
      <c r="B49" s="21"/>
      <c r="C49" s="21"/>
      <c r="D49" s="21"/>
      <c r="E49" s="21"/>
      <c r="F49" s="21"/>
      <c r="G49" s="21"/>
    </row>
    <row r="50" spans="2:7" x14ac:dyDescent="0.25">
      <c r="B50" s="21"/>
      <c r="C50" s="21"/>
      <c r="D50" s="21"/>
      <c r="E50" s="21"/>
      <c r="F50" s="21"/>
      <c r="G50" s="21"/>
    </row>
    <row r="51" spans="2:7" x14ac:dyDescent="0.25">
      <c r="B51" s="21"/>
      <c r="C51" s="21"/>
      <c r="D51" s="21"/>
      <c r="E51" s="21"/>
      <c r="F51" s="21"/>
      <c r="G51" s="21"/>
    </row>
    <row r="52" spans="2:7" x14ac:dyDescent="0.25">
      <c r="B52" s="21"/>
      <c r="C52" s="21"/>
      <c r="D52" s="21"/>
      <c r="E52" s="21"/>
      <c r="F52" s="21"/>
      <c r="G52" s="21"/>
    </row>
    <row r="53" spans="2:7" x14ac:dyDescent="0.25">
      <c r="B53" s="21"/>
      <c r="C53" s="21"/>
      <c r="D53" s="21"/>
      <c r="E53" s="21"/>
      <c r="F53" s="21"/>
      <c r="G53" s="21"/>
    </row>
    <row r="54" spans="2:7" x14ac:dyDescent="0.25">
      <c r="B54" s="21"/>
      <c r="C54" s="21"/>
      <c r="D54" s="21"/>
      <c r="E54" s="21"/>
      <c r="F54" s="21"/>
      <c r="G54" s="21"/>
    </row>
    <row r="55" spans="2:7" x14ac:dyDescent="0.25">
      <c r="B55" s="21"/>
      <c r="C55" s="21"/>
      <c r="D55" s="21"/>
      <c r="E55" s="21"/>
      <c r="F55" s="21"/>
      <c r="G55" s="21"/>
    </row>
    <row r="56" spans="2:7" x14ac:dyDescent="0.25">
      <c r="B56" s="21"/>
      <c r="C56" s="21"/>
      <c r="D56" s="21"/>
      <c r="E56" s="21"/>
      <c r="F56" s="21"/>
      <c r="G56" s="21"/>
    </row>
    <row r="57" spans="2:7" x14ac:dyDescent="0.25">
      <c r="B57" s="21"/>
      <c r="C57" s="21"/>
      <c r="D57" s="21"/>
      <c r="E57" s="21"/>
      <c r="F57" s="21"/>
      <c r="G57" s="21"/>
    </row>
    <row r="58" spans="2:7" x14ac:dyDescent="0.25">
      <c r="B58" s="21"/>
      <c r="C58" s="21"/>
      <c r="D58" s="21"/>
      <c r="E58" s="21"/>
      <c r="F58" s="21"/>
      <c r="G58" s="21"/>
    </row>
    <row r="59" spans="2:7" x14ac:dyDescent="0.25">
      <c r="B59" s="21"/>
      <c r="C59" s="21"/>
      <c r="D59" s="21"/>
      <c r="E59" s="21"/>
      <c r="F59" s="21"/>
      <c r="G59" s="21"/>
    </row>
    <row r="60" spans="2:7" x14ac:dyDescent="0.25">
      <c r="B60" s="21"/>
      <c r="C60" s="21"/>
      <c r="D60" s="21"/>
      <c r="E60" s="21"/>
      <c r="F60" s="21"/>
      <c r="G60" s="21"/>
    </row>
    <row r="61" spans="2:7" x14ac:dyDescent="0.25">
      <c r="B61" s="21"/>
      <c r="C61" s="21"/>
      <c r="D61" s="21"/>
      <c r="E61" s="21"/>
      <c r="F61" s="21"/>
      <c r="G61" s="21"/>
    </row>
    <row r="62" spans="2:7" x14ac:dyDescent="0.25">
      <c r="B62" s="21"/>
      <c r="C62" s="21"/>
      <c r="D62" s="21"/>
      <c r="E62" s="21"/>
      <c r="F62" s="21"/>
      <c r="G62" s="21"/>
    </row>
    <row r="63" spans="2:7" x14ac:dyDescent="0.25">
      <c r="B63" s="21"/>
      <c r="C63" s="21"/>
      <c r="D63" s="21"/>
      <c r="E63" s="21"/>
      <c r="F63" s="21"/>
      <c r="G63" s="21"/>
    </row>
    <row r="64" spans="2:7" x14ac:dyDescent="0.25">
      <c r="B64" s="21"/>
      <c r="C64" s="21"/>
      <c r="D64" s="21"/>
      <c r="E64" s="21"/>
      <c r="F64" s="21"/>
      <c r="G64" s="21"/>
    </row>
    <row r="65" spans="2:7" x14ac:dyDescent="0.25">
      <c r="B65" s="21"/>
      <c r="C65" s="21"/>
      <c r="D65" s="21"/>
      <c r="E65" s="21"/>
      <c r="F65" s="21"/>
      <c r="G65" s="21"/>
    </row>
    <row r="66" spans="2:7" x14ac:dyDescent="0.25">
      <c r="B66" s="21"/>
      <c r="C66" s="21"/>
      <c r="D66" s="21"/>
      <c r="E66" s="21"/>
      <c r="F66" s="21"/>
      <c r="G66" s="21"/>
    </row>
    <row r="67" spans="2:7" x14ac:dyDescent="0.25">
      <c r="B67" s="21"/>
      <c r="C67" s="21"/>
      <c r="D67" s="21"/>
      <c r="E67" s="21"/>
      <c r="F67" s="21"/>
      <c r="G67" s="21"/>
    </row>
    <row r="68" spans="2:7" x14ac:dyDescent="0.25">
      <c r="B68" s="21"/>
      <c r="C68" s="21"/>
      <c r="D68" s="21"/>
      <c r="E68" s="21"/>
      <c r="F68" s="21"/>
      <c r="G68" s="21"/>
    </row>
    <row r="69" spans="2:7" x14ac:dyDescent="0.25">
      <c r="B69" s="21"/>
      <c r="C69" s="21"/>
      <c r="D69" s="21"/>
      <c r="E69" s="21"/>
      <c r="F69" s="21"/>
      <c r="G69" s="21"/>
    </row>
    <row r="70" spans="2:7" x14ac:dyDescent="0.25">
      <c r="B70" s="21"/>
      <c r="C70" s="21"/>
      <c r="D70" s="21"/>
      <c r="E70" s="21"/>
      <c r="F70" s="21"/>
      <c r="G70" s="21"/>
    </row>
    <row r="71" spans="2:7" x14ac:dyDescent="0.25">
      <c r="B71" s="21"/>
      <c r="C71" s="21"/>
      <c r="D71" s="21"/>
      <c r="E71" s="21"/>
      <c r="F71" s="21"/>
      <c r="G71" s="21"/>
    </row>
    <row r="72" spans="2:7" x14ac:dyDescent="0.25">
      <c r="B72" s="21"/>
      <c r="C72" s="21"/>
      <c r="D72" s="21"/>
      <c r="E72" s="21"/>
      <c r="F72" s="21"/>
      <c r="G72" s="21"/>
    </row>
    <row r="73" spans="2:7" x14ac:dyDescent="0.25">
      <c r="B73" s="21"/>
      <c r="C73" s="21"/>
      <c r="D73" s="21"/>
      <c r="E73" s="21"/>
      <c r="F73" s="21"/>
      <c r="G73" s="21"/>
    </row>
    <row r="74" spans="2:7" x14ac:dyDescent="0.25">
      <c r="B74" s="21"/>
      <c r="C74" s="21"/>
      <c r="D74" s="21"/>
      <c r="E74" s="21"/>
      <c r="F74" s="21"/>
      <c r="G74" s="21"/>
    </row>
    <row r="75" spans="2:7" x14ac:dyDescent="0.25">
      <c r="B75" s="21"/>
      <c r="C75" s="21"/>
      <c r="D75" s="21"/>
      <c r="E75" s="21"/>
      <c r="F75" s="21"/>
      <c r="G75" s="21"/>
    </row>
    <row r="76" spans="2:7" x14ac:dyDescent="0.25">
      <c r="B76" s="21"/>
      <c r="C76" s="21"/>
      <c r="D76" s="21"/>
      <c r="E76" s="21"/>
      <c r="F76" s="21"/>
      <c r="G76" s="21"/>
    </row>
    <row r="77" spans="2:7" x14ac:dyDescent="0.25">
      <c r="B77" s="21"/>
      <c r="C77" s="21"/>
      <c r="D77" s="21"/>
      <c r="E77" s="21"/>
      <c r="F77" s="21"/>
      <c r="G77" s="21"/>
    </row>
    <row r="78" spans="2:7" x14ac:dyDescent="0.25">
      <c r="B78" s="21"/>
      <c r="C78" s="21"/>
      <c r="D78" s="21"/>
      <c r="E78" s="21"/>
      <c r="F78" s="21"/>
      <c r="G78" s="21"/>
    </row>
    <row r="79" spans="2:7" x14ac:dyDescent="0.25">
      <c r="B79" s="21"/>
      <c r="C79" s="21"/>
      <c r="D79" s="21"/>
      <c r="E79" s="21"/>
      <c r="F79" s="21"/>
      <c r="G79" s="21"/>
    </row>
    <row r="80" spans="2:7" x14ac:dyDescent="0.25">
      <c r="B80" s="21"/>
      <c r="C80" s="21"/>
      <c r="D80" s="21"/>
      <c r="E80" s="21"/>
      <c r="F80" s="21"/>
      <c r="G80" s="21"/>
    </row>
    <row r="81" spans="2:7" x14ac:dyDescent="0.25">
      <c r="B81" s="21"/>
      <c r="C81" s="21"/>
      <c r="D81" s="21"/>
      <c r="E81" s="21"/>
      <c r="F81" s="21"/>
      <c r="G81" s="21"/>
    </row>
    <row r="82" spans="2:7" x14ac:dyDescent="0.25">
      <c r="B82" s="21"/>
      <c r="C82" s="21"/>
      <c r="D82" s="21"/>
      <c r="E82" s="21"/>
      <c r="F82" s="21"/>
      <c r="G82" s="21"/>
    </row>
    <row r="83" spans="2:7" x14ac:dyDescent="0.25">
      <c r="B83" s="21"/>
      <c r="C83" s="21"/>
      <c r="D83" s="21"/>
      <c r="E83" s="21"/>
      <c r="F83" s="21"/>
      <c r="G83" s="21"/>
    </row>
    <row r="84" spans="2:7" x14ac:dyDescent="0.25">
      <c r="B84" s="21"/>
      <c r="C84" s="21"/>
      <c r="D84" s="21"/>
      <c r="E84" s="21"/>
      <c r="F84" s="21"/>
      <c r="G84" s="21"/>
    </row>
    <row r="85" spans="2:7" x14ac:dyDescent="0.25">
      <c r="B85" s="21"/>
      <c r="C85" s="21"/>
      <c r="D85" s="21"/>
      <c r="E85" s="21"/>
      <c r="F85" s="21"/>
      <c r="G85" s="21"/>
    </row>
    <row r="86" spans="2:7" x14ac:dyDescent="0.25">
      <c r="B86" s="21"/>
      <c r="C86" s="21"/>
      <c r="D86" s="21"/>
      <c r="E86" s="21"/>
      <c r="F86" s="21"/>
      <c r="G86" s="21"/>
    </row>
    <row r="87" spans="2:7" x14ac:dyDescent="0.25">
      <c r="B87" s="21"/>
      <c r="C87" s="21"/>
      <c r="D87" s="21"/>
      <c r="E87" s="21"/>
      <c r="F87" s="21"/>
      <c r="G87" s="21"/>
    </row>
    <row r="88" spans="2:7" x14ac:dyDescent="0.25">
      <c r="B88" s="21"/>
      <c r="C88" s="21"/>
      <c r="D88" s="21"/>
      <c r="E88" s="21"/>
      <c r="F88" s="21"/>
      <c r="G88" s="21"/>
    </row>
    <row r="89" spans="2:7" x14ac:dyDescent="0.25">
      <c r="B89" s="21"/>
      <c r="C89" s="21"/>
      <c r="D89" s="21"/>
      <c r="E89" s="21"/>
      <c r="F89" s="21"/>
      <c r="G89" s="21"/>
    </row>
    <row r="90" spans="2:7" x14ac:dyDescent="0.25">
      <c r="B90" s="21"/>
      <c r="C90" s="21"/>
      <c r="D90" s="21"/>
      <c r="E90" s="21"/>
      <c r="F90" s="21"/>
      <c r="G90" s="21"/>
    </row>
    <row r="91" spans="2:7" x14ac:dyDescent="0.25">
      <c r="B91" s="21"/>
      <c r="C91" s="21"/>
      <c r="D91" s="21"/>
      <c r="E91" s="21"/>
      <c r="F91" s="21"/>
      <c r="G91" s="21"/>
    </row>
    <row r="92" spans="2:7" x14ac:dyDescent="0.25">
      <c r="B92" s="21"/>
      <c r="C92" s="21"/>
      <c r="D92" s="21"/>
      <c r="E92" s="21"/>
      <c r="F92" s="21"/>
      <c r="G92" s="21"/>
    </row>
    <row r="93" spans="2:7" x14ac:dyDescent="0.25">
      <c r="B93" s="21"/>
      <c r="C93" s="21"/>
      <c r="D93" s="21"/>
      <c r="E93" s="21"/>
      <c r="F93" s="21"/>
      <c r="G93" s="21"/>
    </row>
    <row r="94" spans="2:7" x14ac:dyDescent="0.25">
      <c r="B94" s="21"/>
      <c r="C94" s="21"/>
      <c r="D94" s="21"/>
      <c r="E94" s="21"/>
      <c r="F94" s="21"/>
      <c r="G94" s="21"/>
    </row>
    <row r="95" spans="2:7" x14ac:dyDescent="0.25">
      <c r="B95" s="21"/>
      <c r="C95" s="21"/>
      <c r="D95" s="21"/>
      <c r="E95" s="21"/>
      <c r="F95" s="21"/>
      <c r="G95" s="21"/>
    </row>
    <row r="96" spans="2:7" x14ac:dyDescent="0.25">
      <c r="B96" s="21"/>
      <c r="C96" s="21"/>
      <c r="D96" s="21"/>
      <c r="E96" s="21"/>
      <c r="F96" s="21"/>
      <c r="G96" s="21"/>
    </row>
    <row r="97" spans="2:7" x14ac:dyDescent="0.25">
      <c r="B97" s="21"/>
      <c r="C97" s="21"/>
      <c r="D97" s="21"/>
      <c r="E97" s="21"/>
      <c r="F97" s="21"/>
      <c r="G97" s="21"/>
    </row>
    <row r="98" spans="2:7" x14ac:dyDescent="0.25">
      <c r="B98" s="21"/>
      <c r="C98" s="21"/>
      <c r="D98" s="21"/>
      <c r="E98" s="21"/>
      <c r="F98" s="21"/>
      <c r="G98" s="21"/>
    </row>
    <row r="99" spans="2:7" x14ac:dyDescent="0.25">
      <c r="B99" s="21"/>
      <c r="C99" s="21"/>
      <c r="D99" s="21"/>
      <c r="E99" s="21"/>
      <c r="F99" s="21"/>
      <c r="G99" s="21"/>
    </row>
    <row r="100" spans="2:7" x14ac:dyDescent="0.25">
      <c r="B100" s="21"/>
      <c r="C100" s="21"/>
      <c r="D100" s="21"/>
      <c r="E100" s="21"/>
      <c r="F100" s="21"/>
      <c r="G100" s="21"/>
    </row>
    <row r="101" spans="2:7" x14ac:dyDescent="0.25">
      <c r="B101" s="21"/>
      <c r="C101" s="21"/>
      <c r="D101" s="21"/>
      <c r="E101" s="21"/>
      <c r="F101" s="21"/>
      <c r="G101" s="21"/>
    </row>
    <row r="102" spans="2:7" x14ac:dyDescent="0.25">
      <c r="B102" s="21"/>
      <c r="C102" s="21"/>
      <c r="D102" s="21"/>
      <c r="E102" s="21"/>
      <c r="F102" s="21"/>
      <c r="G102" s="21"/>
    </row>
    <row r="103" spans="2:7" x14ac:dyDescent="0.25">
      <c r="B103" s="21"/>
      <c r="C103" s="21"/>
      <c r="D103" s="21"/>
      <c r="E103" s="21"/>
      <c r="F103" s="21"/>
      <c r="G103" s="21"/>
    </row>
    <row r="104" spans="2:7" x14ac:dyDescent="0.25">
      <c r="B104" s="21"/>
      <c r="C104" s="21"/>
      <c r="D104" s="21"/>
      <c r="E104" s="21"/>
      <c r="F104" s="21"/>
      <c r="G104" s="21"/>
    </row>
    <row r="105" spans="2:7" x14ac:dyDescent="0.25">
      <c r="B105" s="21"/>
      <c r="C105" s="21"/>
      <c r="D105" s="21"/>
      <c r="E105" s="21"/>
      <c r="F105" s="21"/>
      <c r="G105" s="21"/>
    </row>
    <row r="106" spans="2:7" x14ac:dyDescent="0.25">
      <c r="B106" s="21"/>
      <c r="C106" s="21"/>
      <c r="D106" s="21"/>
      <c r="E106" s="21"/>
      <c r="F106" s="21"/>
      <c r="G106" s="21"/>
    </row>
    <row r="107" spans="2:7" x14ac:dyDescent="0.25">
      <c r="B107" s="21"/>
      <c r="C107" s="21"/>
      <c r="D107" s="21"/>
      <c r="E107" s="21"/>
      <c r="F107" s="21"/>
      <c r="G107" s="21"/>
    </row>
    <row r="108" spans="2:7" x14ac:dyDescent="0.25">
      <c r="B108" s="21"/>
      <c r="C108" s="21"/>
      <c r="D108" s="21"/>
      <c r="E108" s="21"/>
      <c r="F108" s="21"/>
      <c r="G108" s="21"/>
    </row>
    <row r="109" spans="2:7" x14ac:dyDescent="0.25">
      <c r="B109" s="21"/>
      <c r="C109" s="21"/>
      <c r="D109" s="21"/>
      <c r="E109" s="21"/>
      <c r="F109" s="21"/>
      <c r="G109" s="21"/>
    </row>
    <row r="110" spans="2:7" x14ac:dyDescent="0.25">
      <c r="B110" s="21"/>
      <c r="C110" s="21"/>
      <c r="D110" s="21"/>
      <c r="E110" s="21"/>
      <c r="F110" s="21"/>
      <c r="G110" s="21"/>
    </row>
    <row r="111" spans="2:7" x14ac:dyDescent="0.25">
      <c r="B111" s="21"/>
      <c r="C111" s="21"/>
      <c r="D111" s="21"/>
      <c r="E111" s="21"/>
      <c r="F111" s="21"/>
      <c r="G111" s="21"/>
    </row>
    <row r="112" spans="2:7" x14ac:dyDescent="0.25">
      <c r="B112" s="21"/>
      <c r="C112" s="21"/>
      <c r="D112" s="21"/>
      <c r="E112" s="21"/>
      <c r="F112" s="21"/>
      <c r="G112" s="21"/>
    </row>
    <row r="113" spans="2:7" x14ac:dyDescent="0.25">
      <c r="B113" s="21"/>
      <c r="C113" s="21"/>
      <c r="D113" s="21"/>
      <c r="E113" s="21"/>
      <c r="F113" s="21"/>
      <c r="G113" s="21"/>
    </row>
    <row r="114" spans="2:7" x14ac:dyDescent="0.25">
      <c r="B114" s="21"/>
      <c r="C114" s="21"/>
      <c r="D114" s="21"/>
      <c r="E114" s="21"/>
      <c r="F114" s="21"/>
      <c r="G114" s="21"/>
    </row>
    <row r="115" spans="2:7" x14ac:dyDescent="0.25">
      <c r="B115" s="21"/>
      <c r="C115" s="21"/>
      <c r="D115" s="21"/>
      <c r="E115" s="21"/>
      <c r="F115" s="21"/>
      <c r="G115" s="21"/>
    </row>
    <row r="116" spans="2:7" x14ac:dyDescent="0.25">
      <c r="B116" s="21"/>
      <c r="C116" s="21"/>
      <c r="D116" s="21"/>
      <c r="E116" s="21"/>
      <c r="F116" s="21"/>
      <c r="G116" s="21"/>
    </row>
    <row r="117" spans="2:7" x14ac:dyDescent="0.25">
      <c r="B117" s="21"/>
      <c r="C117" s="21"/>
      <c r="D117" s="21"/>
      <c r="E117" s="21"/>
      <c r="F117" s="21"/>
      <c r="G117" s="21"/>
    </row>
    <row r="118" spans="2:7" x14ac:dyDescent="0.25">
      <c r="B118" s="21"/>
      <c r="C118" s="21"/>
      <c r="D118" s="21"/>
      <c r="E118" s="21"/>
      <c r="F118" s="21"/>
      <c r="G118" s="21"/>
    </row>
    <row r="119" spans="2:7" x14ac:dyDescent="0.25">
      <c r="B119" s="21"/>
      <c r="C119" s="21"/>
      <c r="D119" s="21"/>
      <c r="E119" s="21"/>
      <c r="F119" s="21"/>
      <c r="G119" s="21"/>
    </row>
    <row r="120" spans="2:7" x14ac:dyDescent="0.25">
      <c r="B120" s="21"/>
      <c r="C120" s="21"/>
      <c r="D120" s="21"/>
      <c r="E120" s="21"/>
      <c r="F120" s="21"/>
      <c r="G120" s="21"/>
    </row>
    <row r="121" spans="2:7" x14ac:dyDescent="0.25">
      <c r="B121" s="21"/>
      <c r="C121" s="21"/>
      <c r="D121" s="21"/>
      <c r="E121" s="21"/>
      <c r="F121" s="21"/>
      <c r="G121" s="21"/>
    </row>
    <row r="122" spans="2:7" x14ac:dyDescent="0.25">
      <c r="B122" s="21"/>
      <c r="C122" s="21"/>
      <c r="D122" s="21"/>
      <c r="E122" s="21"/>
      <c r="F122" s="21"/>
      <c r="G122" s="21"/>
    </row>
    <row r="123" spans="2:7" x14ac:dyDescent="0.25">
      <c r="B123" s="21"/>
      <c r="C123" s="21"/>
      <c r="D123" s="21"/>
      <c r="E123" s="21"/>
      <c r="F123" s="21"/>
      <c r="G123" s="21"/>
    </row>
    <row r="124" spans="2:7" x14ac:dyDescent="0.25">
      <c r="B124" s="21"/>
      <c r="C124" s="21"/>
      <c r="D124" s="21"/>
      <c r="E124" s="21"/>
      <c r="F124" s="21"/>
      <c r="G124" s="21"/>
    </row>
    <row r="125" spans="2:7" x14ac:dyDescent="0.25">
      <c r="B125" s="21"/>
      <c r="C125" s="21"/>
      <c r="D125" s="21"/>
      <c r="E125" s="21"/>
      <c r="F125" s="21"/>
      <c r="G125" s="21"/>
    </row>
    <row r="126" spans="2:7" x14ac:dyDescent="0.25">
      <c r="B126" s="21"/>
      <c r="C126" s="21"/>
      <c r="D126" s="21"/>
      <c r="E126" s="21"/>
      <c r="F126" s="21"/>
      <c r="G126" s="21"/>
    </row>
    <row r="127" spans="2:7" x14ac:dyDescent="0.25">
      <c r="B127" s="21"/>
      <c r="C127" s="21"/>
      <c r="D127" s="21"/>
      <c r="E127" s="21"/>
      <c r="F127" s="21"/>
      <c r="G127" s="21"/>
    </row>
    <row r="128" spans="2:7" x14ac:dyDescent="0.25">
      <c r="B128" s="21"/>
      <c r="C128" s="21"/>
      <c r="D128" s="21"/>
      <c r="E128" s="21"/>
      <c r="F128" s="21"/>
      <c r="G128" s="21"/>
    </row>
    <row r="129" spans="2:7" x14ac:dyDescent="0.25">
      <c r="B129" s="21"/>
      <c r="C129" s="21"/>
      <c r="D129" s="21"/>
      <c r="E129" s="21"/>
      <c r="F129" s="21"/>
      <c r="G129" s="21"/>
    </row>
    <row r="130" spans="2:7" x14ac:dyDescent="0.25">
      <c r="B130" s="21"/>
      <c r="C130" s="21"/>
      <c r="D130" s="21"/>
      <c r="E130" s="21"/>
      <c r="F130" s="21"/>
      <c r="G130" s="21"/>
    </row>
    <row r="131" spans="2:7" x14ac:dyDescent="0.25">
      <c r="B131" s="21"/>
      <c r="C131" s="21"/>
      <c r="D131" s="21"/>
      <c r="E131" s="21"/>
      <c r="F131" s="21"/>
      <c r="G131" s="21"/>
    </row>
    <row r="132" spans="2:7" x14ac:dyDescent="0.25">
      <c r="B132" s="21"/>
      <c r="C132" s="21"/>
      <c r="D132" s="21"/>
      <c r="E132" s="21"/>
      <c r="F132" s="21"/>
      <c r="G132" s="21"/>
    </row>
    <row r="133" spans="2:7" x14ac:dyDescent="0.25">
      <c r="B133" s="21"/>
      <c r="C133" s="21"/>
      <c r="D133" s="21"/>
      <c r="E133" s="21"/>
      <c r="F133" s="21"/>
      <c r="G133" s="21"/>
    </row>
  </sheetData>
  <mergeCells count="2">
    <mergeCell ref="B6:G6"/>
    <mergeCell ref="B7:G7"/>
  </mergeCells>
  <phoneticPr fontId="0" type="noConversion"/>
  <pageMargins left="0.75" right="0.75" top="1" bottom="1" header="0.5" footer="0.5"/>
  <pageSetup orientation="landscape" horizontalDpi="4294967292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2:BD49"/>
  <sheetViews>
    <sheetView showGridLines="0" workbookViewId="0"/>
  </sheetViews>
  <sheetFormatPr defaultColWidth="9" defaultRowHeight="14.4" x14ac:dyDescent="0.3"/>
  <cols>
    <col min="1" max="1" width="8.296875" style="3" customWidth="1"/>
    <col min="2" max="2" width="10.5" style="3" bestFit="1" customWidth="1"/>
    <col min="3" max="3" width="9" style="3"/>
    <col min="4" max="4" width="3.796875" style="3" customWidth="1"/>
    <col min="5" max="5" width="24.59765625" style="3" customWidth="1"/>
    <col min="6" max="6" width="24" style="3" customWidth="1"/>
    <col min="7" max="7" width="10.19921875" style="3" customWidth="1"/>
    <col min="8" max="8" width="12.5" style="3" customWidth="1"/>
    <col min="9" max="9" width="9" style="3"/>
    <col min="10" max="10" width="19.59765625" style="3" bestFit="1" customWidth="1"/>
    <col min="11" max="11" width="13.19921875" style="3" bestFit="1" customWidth="1"/>
    <col min="12" max="12" width="9" style="3"/>
    <col min="13" max="13" width="22.19921875" style="3" bestFit="1" customWidth="1"/>
    <col min="14" max="16384" width="9" style="3"/>
  </cols>
  <sheetData>
    <row r="2" spans="2:56" x14ac:dyDescent="0.3">
      <c r="B2" s="36"/>
    </row>
    <row r="3" spans="2:56" x14ac:dyDescent="0.3">
      <c r="B3" s="36" t="s">
        <v>113</v>
      </c>
    </row>
    <row r="5" spans="2:56" ht="15" thickBot="1" x14ac:dyDescent="0.35"/>
    <row r="6" spans="2:56" ht="88.5" customHeight="1" x14ac:dyDescent="0.3">
      <c r="E6" s="164" t="s">
        <v>216</v>
      </c>
      <c r="F6" s="165"/>
      <c r="G6" s="1"/>
      <c r="H6" s="2"/>
    </row>
    <row r="7" spans="2:56" x14ac:dyDescent="0.3">
      <c r="E7" s="166">
        <f ca="1">NOW()</f>
        <v>44307.291239699072</v>
      </c>
      <c r="F7" s="167"/>
      <c r="G7" s="4"/>
      <c r="H7" s="5"/>
    </row>
    <row r="8" spans="2:56" ht="15" thickBot="1" x14ac:dyDescent="0.35">
      <c r="E8" s="6"/>
      <c r="F8" s="7"/>
      <c r="G8" s="8"/>
      <c r="H8" s="8"/>
    </row>
    <row r="9" spans="2:56" ht="26.4" thickBot="1" x14ac:dyDescent="0.35">
      <c r="E9" s="72" t="s">
        <v>77</v>
      </c>
      <c r="F9" s="73" t="s">
        <v>78</v>
      </c>
      <c r="G9" s="1"/>
      <c r="H9" s="9"/>
      <c r="I9" s="9"/>
    </row>
    <row r="10" spans="2:56" x14ac:dyDescent="0.3">
      <c r="B10" s="43" t="s">
        <v>8</v>
      </c>
      <c r="C10" s="8"/>
      <c r="E10" s="153"/>
      <c r="F10" s="154"/>
    </row>
    <row r="11" spans="2:56" x14ac:dyDescent="0.3">
      <c r="B11" s="46" t="s">
        <v>9</v>
      </c>
      <c r="C11" s="8"/>
      <c r="E11" s="155"/>
      <c r="F11" s="156"/>
    </row>
    <row r="12" spans="2:56" x14ac:dyDescent="0.3">
      <c r="B12" s="46" t="s">
        <v>10</v>
      </c>
      <c r="C12" s="8"/>
      <c r="E12" s="155"/>
      <c r="F12" s="156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</row>
    <row r="13" spans="2:56" x14ac:dyDescent="0.3">
      <c r="B13" s="46" t="s">
        <v>11</v>
      </c>
      <c r="C13" s="8"/>
      <c r="E13" s="155"/>
      <c r="F13" s="156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</row>
    <row r="14" spans="2:56" x14ac:dyDescent="0.3">
      <c r="B14" s="46" t="s">
        <v>12</v>
      </c>
      <c r="C14" s="8"/>
      <c r="E14" s="155"/>
      <c r="F14" s="156"/>
      <c r="J14" s="11"/>
      <c r="K14" s="10"/>
      <c r="L14" s="9"/>
      <c r="M14" s="9"/>
      <c r="N14" s="12"/>
      <c r="O14" s="13"/>
    </row>
    <row r="15" spans="2:56" x14ac:dyDescent="0.3">
      <c r="B15" s="46" t="s">
        <v>13</v>
      </c>
      <c r="C15" s="8"/>
      <c r="E15" s="155"/>
      <c r="F15" s="156"/>
      <c r="J15" s="11"/>
      <c r="K15" s="10"/>
      <c r="L15" s="9"/>
      <c r="M15" s="9"/>
      <c r="N15" s="12"/>
      <c r="O15" s="13"/>
    </row>
    <row r="16" spans="2:56" x14ac:dyDescent="0.3">
      <c r="B16" s="46" t="s">
        <v>14</v>
      </c>
      <c r="C16" s="8"/>
      <c r="E16" s="155"/>
      <c r="F16" s="156"/>
      <c r="J16" s="11"/>
      <c r="K16" s="10"/>
      <c r="L16" s="9"/>
      <c r="M16" s="9"/>
      <c r="N16" s="12"/>
      <c r="O16" s="13"/>
    </row>
    <row r="17" spans="2:15" x14ac:dyDescent="0.3">
      <c r="B17" s="46" t="s">
        <v>15</v>
      </c>
      <c r="C17" s="8"/>
      <c r="E17" s="155"/>
      <c r="F17" s="156"/>
      <c r="J17" s="11"/>
      <c r="K17" s="10"/>
      <c r="L17" s="9"/>
      <c r="M17" s="9"/>
      <c r="N17" s="12"/>
      <c r="O17" s="13"/>
    </row>
    <row r="18" spans="2:15" x14ac:dyDescent="0.3">
      <c r="B18" s="46" t="s">
        <v>16</v>
      </c>
      <c r="C18" s="8"/>
      <c r="E18" s="155"/>
      <c r="F18" s="156"/>
      <c r="J18" s="11"/>
      <c r="K18" s="10"/>
      <c r="L18" s="9"/>
      <c r="M18" s="9"/>
      <c r="N18" s="12"/>
      <c r="O18" s="13"/>
    </row>
    <row r="19" spans="2:15" x14ac:dyDescent="0.3">
      <c r="B19" s="46" t="s">
        <v>17</v>
      </c>
      <c r="C19" s="8"/>
      <c r="E19" s="155"/>
      <c r="F19" s="156"/>
      <c r="J19" s="11"/>
      <c r="K19" s="10"/>
      <c r="L19" s="9"/>
      <c r="M19" s="9"/>
      <c r="N19" s="12"/>
      <c r="O19" s="13"/>
    </row>
    <row r="20" spans="2:15" x14ac:dyDescent="0.3">
      <c r="B20" s="46" t="s">
        <v>18</v>
      </c>
      <c r="C20" s="8"/>
      <c r="E20" s="155"/>
      <c r="F20" s="156"/>
      <c r="J20" s="11"/>
      <c r="K20" s="10"/>
      <c r="L20" s="9"/>
      <c r="M20" s="9"/>
      <c r="N20" s="12"/>
      <c r="O20" s="13"/>
    </row>
    <row r="21" spans="2:15" x14ac:dyDescent="0.3">
      <c r="B21" s="46" t="s">
        <v>19</v>
      </c>
      <c r="C21" s="8"/>
      <c r="E21" s="155"/>
      <c r="F21" s="156"/>
    </row>
    <row r="22" spans="2:15" x14ac:dyDescent="0.3">
      <c r="B22" s="46" t="s">
        <v>20</v>
      </c>
      <c r="C22" s="8"/>
      <c r="E22" s="155"/>
      <c r="F22" s="156"/>
    </row>
    <row r="23" spans="2:15" x14ac:dyDescent="0.3">
      <c r="B23" s="46" t="s">
        <v>21</v>
      </c>
      <c r="C23" s="8"/>
      <c r="E23" s="155"/>
      <c r="F23" s="156"/>
    </row>
    <row r="24" spans="2:15" x14ac:dyDescent="0.3">
      <c r="B24" s="46" t="s">
        <v>22</v>
      </c>
      <c r="C24" s="8"/>
      <c r="E24" s="155"/>
      <c r="F24" s="156"/>
    </row>
    <row r="25" spans="2:15" x14ac:dyDescent="0.3">
      <c r="B25" s="46" t="s">
        <v>23</v>
      </c>
      <c r="C25" s="8"/>
      <c r="E25" s="155"/>
      <c r="F25" s="156"/>
    </row>
    <row r="26" spans="2:15" x14ac:dyDescent="0.3">
      <c r="B26" s="46" t="s">
        <v>24</v>
      </c>
      <c r="C26" s="8"/>
      <c r="E26" s="155"/>
      <c r="F26" s="156"/>
    </row>
    <row r="27" spans="2:15" x14ac:dyDescent="0.3">
      <c r="B27" s="46" t="s">
        <v>25</v>
      </c>
      <c r="C27" s="8"/>
      <c r="E27" s="155"/>
      <c r="F27" s="156"/>
    </row>
    <row r="28" spans="2:15" x14ac:dyDescent="0.3">
      <c r="B28" s="46" t="s">
        <v>26</v>
      </c>
      <c r="C28" s="8"/>
      <c r="E28" s="155"/>
      <c r="F28" s="156"/>
    </row>
    <row r="29" spans="2:15" x14ac:dyDescent="0.3">
      <c r="B29" s="46" t="s">
        <v>27</v>
      </c>
      <c r="C29" s="8"/>
      <c r="E29" s="155"/>
      <c r="F29" s="156"/>
    </row>
    <row r="30" spans="2:15" x14ac:dyDescent="0.3">
      <c r="B30" s="46" t="s">
        <v>28</v>
      </c>
      <c r="C30" s="8"/>
      <c r="E30" s="155"/>
      <c r="F30" s="156"/>
    </row>
    <row r="31" spans="2:15" x14ac:dyDescent="0.3">
      <c r="B31" s="46" t="s">
        <v>29</v>
      </c>
      <c r="C31" s="8"/>
      <c r="E31" s="155"/>
      <c r="F31" s="156"/>
    </row>
    <row r="32" spans="2:15" x14ac:dyDescent="0.3">
      <c r="B32" s="46" t="s">
        <v>30</v>
      </c>
      <c r="C32" s="8"/>
      <c r="E32" s="155"/>
      <c r="F32" s="156"/>
    </row>
    <row r="33" spans="2:6" x14ac:dyDescent="0.3">
      <c r="B33" s="46" t="s">
        <v>31</v>
      </c>
      <c r="C33" s="8"/>
      <c r="E33" s="155"/>
      <c r="F33" s="156"/>
    </row>
    <row r="34" spans="2:6" x14ac:dyDescent="0.3">
      <c r="B34" s="46" t="s">
        <v>32</v>
      </c>
      <c r="C34" s="8"/>
      <c r="E34" s="155"/>
      <c r="F34" s="156"/>
    </row>
    <row r="35" spans="2:6" x14ac:dyDescent="0.3">
      <c r="B35" s="46" t="s">
        <v>33</v>
      </c>
      <c r="C35" s="8"/>
      <c r="E35" s="155"/>
      <c r="F35" s="156"/>
    </row>
    <row r="36" spans="2:6" x14ac:dyDescent="0.3">
      <c r="B36" s="46" t="s">
        <v>34</v>
      </c>
      <c r="C36" s="8"/>
      <c r="E36" s="155"/>
      <c r="F36" s="156"/>
    </row>
    <row r="37" spans="2:6" x14ac:dyDescent="0.3">
      <c r="B37" s="46" t="s">
        <v>35</v>
      </c>
      <c r="C37" s="8"/>
      <c r="E37" s="155"/>
      <c r="F37" s="156"/>
    </row>
    <row r="38" spans="2:6" x14ac:dyDescent="0.3">
      <c r="B38" s="46" t="s">
        <v>36</v>
      </c>
      <c r="C38" s="8"/>
      <c r="E38" s="155"/>
      <c r="F38" s="156"/>
    </row>
    <row r="39" spans="2:6" x14ac:dyDescent="0.3">
      <c r="B39" s="46" t="s">
        <v>37</v>
      </c>
      <c r="C39" s="8"/>
      <c r="E39" s="155"/>
      <c r="F39" s="156"/>
    </row>
    <row r="40" spans="2:6" x14ac:dyDescent="0.3">
      <c r="B40" s="46" t="s">
        <v>38</v>
      </c>
      <c r="C40" s="8"/>
      <c r="E40" s="155"/>
      <c r="F40" s="156"/>
    </row>
    <row r="41" spans="2:6" x14ac:dyDescent="0.3">
      <c r="B41" s="46" t="s">
        <v>39</v>
      </c>
      <c r="C41" s="8"/>
      <c r="E41" s="155"/>
      <c r="F41" s="156"/>
    </row>
    <row r="42" spans="2:6" x14ac:dyDescent="0.3">
      <c r="B42" s="46" t="s">
        <v>40</v>
      </c>
      <c r="C42" s="8"/>
      <c r="E42" s="155"/>
      <c r="F42" s="156"/>
    </row>
    <row r="43" spans="2:6" x14ac:dyDescent="0.3">
      <c r="B43" s="46" t="s">
        <v>41</v>
      </c>
      <c r="C43" s="8"/>
      <c r="E43" s="155"/>
      <c r="F43" s="156"/>
    </row>
    <row r="44" spans="2:6" x14ac:dyDescent="0.3">
      <c r="B44" s="46" t="s">
        <v>42</v>
      </c>
      <c r="C44" s="8"/>
      <c r="E44" s="155"/>
      <c r="F44" s="156"/>
    </row>
    <row r="45" spans="2:6" x14ac:dyDescent="0.3">
      <c r="B45" s="46" t="s">
        <v>43</v>
      </c>
      <c r="C45" s="8"/>
      <c r="E45" s="155"/>
      <c r="F45" s="156"/>
    </row>
    <row r="46" spans="2:6" x14ac:dyDescent="0.3">
      <c r="B46" s="46" t="s">
        <v>44</v>
      </c>
      <c r="C46" s="8"/>
      <c r="E46" s="155"/>
      <c r="F46" s="156"/>
    </row>
    <row r="47" spans="2:6" x14ac:dyDescent="0.3">
      <c r="B47" s="46" t="s">
        <v>45</v>
      </c>
      <c r="C47" s="8"/>
      <c r="E47" s="155"/>
      <c r="F47" s="156"/>
    </row>
    <row r="48" spans="2:6" x14ac:dyDescent="0.3">
      <c r="B48" s="46" t="s">
        <v>46</v>
      </c>
      <c r="C48" s="8"/>
      <c r="E48" s="155"/>
      <c r="F48" s="156"/>
    </row>
    <row r="49" spans="2:6" ht="15" thickBot="1" x14ac:dyDescent="0.35">
      <c r="B49" s="49" t="s">
        <v>47</v>
      </c>
      <c r="C49" s="8"/>
      <c r="E49" s="157"/>
      <c r="F49" s="7"/>
    </row>
  </sheetData>
  <mergeCells count="2">
    <mergeCell ref="E6:F6"/>
    <mergeCell ref="E7:F7"/>
  </mergeCells>
  <phoneticPr fontId="0" type="noConversion"/>
  <pageMargins left="0.75" right="0.75" top="1" bottom="1" header="0.5" footer="0.5"/>
  <pageSetup scale="54" orientation="landscape" horizontalDpi="4294967292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2:Q158"/>
  <sheetViews>
    <sheetView showGridLines="0" zoomScale="106" zoomScaleNormal="106" workbookViewId="0">
      <selection activeCell="B2" sqref="B2"/>
    </sheetView>
  </sheetViews>
  <sheetFormatPr defaultColWidth="9" defaultRowHeight="14.4" x14ac:dyDescent="0.3"/>
  <cols>
    <col min="1" max="1" width="9" style="125"/>
    <col min="2" max="2" width="22.19921875" style="125" customWidth="1"/>
    <col min="3" max="3" width="19.296875" style="125" customWidth="1"/>
    <col min="4" max="4" width="15.59765625" style="125" bestFit="1" customWidth="1"/>
    <col min="5" max="5" width="12.59765625" style="125" customWidth="1"/>
    <col min="6" max="6" width="12.5" style="125" customWidth="1"/>
    <col min="7" max="7" width="9" style="127"/>
    <col min="8" max="8" width="19.59765625" style="127" bestFit="1" customWidth="1"/>
    <col min="9" max="9" width="13.19921875" style="127" bestFit="1" customWidth="1"/>
    <col min="10" max="10" width="9" style="127"/>
    <col min="11" max="11" width="22.19921875" style="127" bestFit="1" customWidth="1"/>
    <col min="12" max="16384" width="9" style="125"/>
  </cols>
  <sheetData>
    <row r="2" spans="2:17" x14ac:dyDescent="0.3">
      <c r="B2" s="36"/>
      <c r="D2" s="126"/>
    </row>
    <row r="3" spans="2:17" x14ac:dyDescent="0.3">
      <c r="B3" s="36" t="s">
        <v>116</v>
      </c>
    </row>
    <row r="4" spans="2:17" ht="15" thickBot="1" x14ac:dyDescent="0.35"/>
    <row r="5" spans="2:17" ht="97.5" customHeight="1" x14ac:dyDescent="0.3">
      <c r="B5" s="128"/>
      <c r="C5" s="129" t="s">
        <v>216</v>
      </c>
      <c r="D5" s="130"/>
      <c r="E5" s="130"/>
      <c r="F5" s="131"/>
    </row>
    <row r="6" spans="2:17" ht="15" thickBot="1" x14ac:dyDescent="0.35">
      <c r="B6" s="132"/>
      <c r="C6" s="133"/>
      <c r="D6" s="133"/>
      <c r="E6" s="133"/>
      <c r="F6" s="134"/>
    </row>
    <row r="7" spans="2:17" ht="28.8" thickBot="1" x14ac:dyDescent="0.35">
      <c r="B7" s="135" t="s">
        <v>51</v>
      </c>
      <c r="C7" s="135" t="s">
        <v>82</v>
      </c>
      <c r="D7" s="136" t="s">
        <v>0</v>
      </c>
      <c r="E7" s="135" t="s">
        <v>118</v>
      </c>
      <c r="F7" s="135" t="s">
        <v>83</v>
      </c>
    </row>
    <row r="8" spans="2:17" x14ac:dyDescent="0.3">
      <c r="B8" s="127" t="s">
        <v>127</v>
      </c>
      <c r="C8" s="137" t="s">
        <v>123</v>
      </c>
      <c r="D8" s="138">
        <v>40421</v>
      </c>
      <c r="E8" s="139">
        <f>F8/160</f>
        <v>2.6749999999999998</v>
      </c>
      <c r="F8" s="140">
        <v>428</v>
      </c>
    </row>
    <row r="9" spans="2:17" x14ac:dyDescent="0.3">
      <c r="B9" s="127" t="s">
        <v>127</v>
      </c>
      <c r="C9" s="137" t="s">
        <v>123</v>
      </c>
      <c r="D9" s="138">
        <v>40423</v>
      </c>
      <c r="E9" s="139">
        <f>F9/160</f>
        <v>2.625</v>
      </c>
      <c r="F9" s="140">
        <v>420</v>
      </c>
    </row>
    <row r="10" spans="2:17" x14ac:dyDescent="0.3">
      <c r="B10" s="127" t="s">
        <v>124</v>
      </c>
      <c r="C10" s="137" t="s">
        <v>120</v>
      </c>
      <c r="D10" s="138">
        <v>40427</v>
      </c>
      <c r="E10" s="139">
        <f>F10/160</f>
        <v>3.0359375000000002</v>
      </c>
      <c r="F10" s="140">
        <v>485.75</v>
      </c>
      <c r="I10" s="141"/>
      <c r="J10" s="141"/>
      <c r="K10" s="141"/>
      <c r="L10" s="142"/>
      <c r="M10" s="142"/>
      <c r="N10" s="142"/>
      <c r="O10" s="142"/>
      <c r="P10" s="142"/>
      <c r="Q10" s="142"/>
    </row>
    <row r="11" spans="2:17" x14ac:dyDescent="0.3">
      <c r="B11" s="127" t="s">
        <v>121</v>
      </c>
      <c r="C11" s="137" t="s">
        <v>120</v>
      </c>
      <c r="D11" s="138">
        <v>40451</v>
      </c>
      <c r="E11" s="139">
        <f>F11/160</f>
        <v>2.6375000000000002</v>
      </c>
      <c r="F11" s="140">
        <v>422</v>
      </c>
      <c r="I11" s="141"/>
      <c r="J11" s="141"/>
      <c r="K11" s="141"/>
      <c r="L11" s="142"/>
      <c r="M11" s="142"/>
      <c r="N11" s="142"/>
      <c r="O11" s="142"/>
      <c r="P11" s="142"/>
      <c r="Q11" s="142"/>
    </row>
    <row r="12" spans="2:17" x14ac:dyDescent="0.3">
      <c r="B12" s="127" t="s">
        <v>128</v>
      </c>
      <c r="C12" s="137" t="s">
        <v>84</v>
      </c>
      <c r="D12" s="138">
        <v>40469</v>
      </c>
      <c r="E12" s="139">
        <f>F12/160</f>
        <v>2.9031250000000002</v>
      </c>
      <c r="F12" s="140">
        <v>464.5</v>
      </c>
      <c r="I12" s="143"/>
      <c r="J12" s="137"/>
      <c r="K12" s="137"/>
      <c r="L12" s="144"/>
      <c r="M12" s="145"/>
    </row>
    <row r="13" spans="2:17" x14ac:dyDescent="0.3">
      <c r="B13" s="127" t="s">
        <v>65</v>
      </c>
      <c r="C13" s="137" t="s">
        <v>85</v>
      </c>
      <c r="D13" s="138">
        <v>40763</v>
      </c>
      <c r="E13" s="139">
        <f>F13/160</f>
        <v>7.03125</v>
      </c>
      <c r="F13" s="140">
        <v>1125</v>
      </c>
      <c r="I13" s="143"/>
      <c r="J13" s="137"/>
      <c r="K13" s="137"/>
      <c r="L13" s="144"/>
      <c r="M13" s="145"/>
    </row>
    <row r="14" spans="2:17" x14ac:dyDescent="0.3">
      <c r="B14" s="127" t="s">
        <v>61</v>
      </c>
      <c r="C14" s="137" t="s">
        <v>85</v>
      </c>
      <c r="D14" s="138">
        <v>40771</v>
      </c>
      <c r="E14" s="139">
        <f>F14/160</f>
        <v>14.5</v>
      </c>
      <c r="F14" s="140">
        <v>2320</v>
      </c>
      <c r="I14" s="143"/>
      <c r="J14" s="137"/>
      <c r="K14" s="137"/>
      <c r="L14" s="144"/>
      <c r="M14" s="145"/>
    </row>
    <row r="15" spans="2:17" x14ac:dyDescent="0.3">
      <c r="B15" s="127" t="s">
        <v>61</v>
      </c>
      <c r="C15" s="137" t="s">
        <v>85</v>
      </c>
      <c r="D15" s="138">
        <v>40773</v>
      </c>
      <c r="E15" s="139">
        <f>F15/160</f>
        <v>6.6703124999999996</v>
      </c>
      <c r="F15" s="140">
        <v>1067.25</v>
      </c>
      <c r="I15" s="143"/>
      <c r="J15" s="137"/>
      <c r="K15" s="137"/>
      <c r="L15" s="144"/>
      <c r="M15" s="145"/>
    </row>
    <row r="16" spans="2:17" x14ac:dyDescent="0.3">
      <c r="B16" s="127" t="s">
        <v>122</v>
      </c>
      <c r="C16" s="137" t="s">
        <v>123</v>
      </c>
      <c r="D16" s="138">
        <v>40774</v>
      </c>
      <c r="E16" s="139">
        <f>F16/160</f>
        <v>9.4312500000000004</v>
      </c>
      <c r="F16" s="140">
        <v>1509</v>
      </c>
      <c r="I16" s="143"/>
      <c r="J16" s="137"/>
      <c r="K16" s="137"/>
      <c r="L16" s="144"/>
      <c r="M16" s="145"/>
    </row>
    <row r="17" spans="2:13" x14ac:dyDescent="0.3">
      <c r="B17" s="127" t="s">
        <v>122</v>
      </c>
      <c r="C17" s="137" t="s">
        <v>123</v>
      </c>
      <c r="D17" s="138">
        <v>40775</v>
      </c>
      <c r="E17" s="139">
        <f>F17/160</f>
        <v>7.8937499999999998</v>
      </c>
      <c r="F17" s="140">
        <v>1263</v>
      </c>
      <c r="I17" s="143"/>
      <c r="J17" s="137"/>
      <c r="K17" s="137"/>
      <c r="L17" s="144"/>
      <c r="M17" s="145"/>
    </row>
    <row r="18" spans="2:13" x14ac:dyDescent="0.3">
      <c r="B18" s="127" t="s">
        <v>122</v>
      </c>
      <c r="C18" s="137" t="s">
        <v>123</v>
      </c>
      <c r="D18" s="138">
        <v>40777</v>
      </c>
      <c r="E18" s="139">
        <f>F18/160</f>
        <v>13.3125</v>
      </c>
      <c r="F18" s="140">
        <v>2130</v>
      </c>
    </row>
    <row r="19" spans="2:13" x14ac:dyDescent="0.3">
      <c r="B19" s="127" t="s">
        <v>122</v>
      </c>
      <c r="C19" s="137" t="s">
        <v>123</v>
      </c>
      <c r="D19" s="138">
        <v>40778</v>
      </c>
      <c r="E19" s="139">
        <f>F19/160</f>
        <v>8.2531250000000007</v>
      </c>
      <c r="F19" s="140">
        <v>1320.5</v>
      </c>
    </row>
    <row r="20" spans="2:13" x14ac:dyDescent="0.3">
      <c r="B20" s="127" t="s">
        <v>126</v>
      </c>
      <c r="C20" s="137" t="s">
        <v>123</v>
      </c>
      <c r="D20" s="138">
        <v>40781</v>
      </c>
      <c r="E20" s="139">
        <f>F20/160</f>
        <v>7.6281249999999998</v>
      </c>
      <c r="F20" s="140">
        <v>1220.5</v>
      </c>
      <c r="I20" s="143"/>
    </row>
    <row r="21" spans="2:13" x14ac:dyDescent="0.3">
      <c r="B21" s="127" t="s">
        <v>124</v>
      </c>
      <c r="C21" s="137" t="s">
        <v>120</v>
      </c>
      <c r="D21" s="138">
        <v>40797</v>
      </c>
      <c r="E21" s="139">
        <f>F21/160</f>
        <v>8.90625</v>
      </c>
      <c r="F21" s="140">
        <v>1425</v>
      </c>
    </row>
    <row r="22" spans="2:13" x14ac:dyDescent="0.3">
      <c r="B22" s="127" t="s">
        <v>119</v>
      </c>
      <c r="C22" s="137" t="s">
        <v>120</v>
      </c>
      <c r="D22" s="138">
        <v>40803</v>
      </c>
      <c r="E22" s="139">
        <f>F22/160</f>
        <v>8.15625</v>
      </c>
      <c r="F22" s="140">
        <v>1305</v>
      </c>
    </row>
    <row r="23" spans="2:13" x14ac:dyDescent="0.3">
      <c r="B23" s="127" t="s">
        <v>119</v>
      </c>
      <c r="C23" s="137" t="s">
        <v>120</v>
      </c>
      <c r="D23" s="138">
        <v>40810</v>
      </c>
      <c r="E23" s="139">
        <f>F23/160</f>
        <v>7.8156249999999998</v>
      </c>
      <c r="F23" s="140">
        <v>1250.5</v>
      </c>
      <c r="I23" s="143"/>
    </row>
    <row r="24" spans="2:13" x14ac:dyDescent="0.3">
      <c r="B24" s="127" t="s">
        <v>121</v>
      </c>
      <c r="C24" s="137" t="s">
        <v>120</v>
      </c>
      <c r="D24" s="138">
        <v>40813</v>
      </c>
      <c r="E24" s="139">
        <f>F24/160</f>
        <v>7.3624999999999998</v>
      </c>
      <c r="F24" s="140">
        <v>1178</v>
      </c>
    </row>
    <row r="25" spans="2:13" x14ac:dyDescent="0.3">
      <c r="B25" s="127" t="s">
        <v>121</v>
      </c>
      <c r="C25" s="137" t="s">
        <v>120</v>
      </c>
      <c r="D25" s="138">
        <v>40814</v>
      </c>
      <c r="E25" s="139">
        <f>F25/160</f>
        <v>7.5</v>
      </c>
      <c r="F25" s="140">
        <v>1200</v>
      </c>
    </row>
    <row r="26" spans="2:13" x14ac:dyDescent="0.3">
      <c r="B26" s="127" t="s">
        <v>121</v>
      </c>
      <c r="C26" s="137" t="s">
        <v>120</v>
      </c>
      <c r="D26" s="138">
        <v>40849</v>
      </c>
      <c r="E26" s="139">
        <f>F26/160</f>
        <v>8.1312499999999996</v>
      </c>
      <c r="F26" s="140">
        <v>1301</v>
      </c>
      <c r="I26" s="143"/>
    </row>
    <row r="27" spans="2:13" x14ac:dyDescent="0.3">
      <c r="B27" s="127" t="s">
        <v>125</v>
      </c>
      <c r="C27" s="137" t="s">
        <v>84</v>
      </c>
      <c r="D27" s="138">
        <v>40851</v>
      </c>
      <c r="E27" s="139">
        <f>F27/160</f>
        <v>8.1593750000000007</v>
      </c>
      <c r="F27" s="140">
        <v>1305.5</v>
      </c>
    </row>
    <row r="28" spans="2:13" x14ac:dyDescent="0.3">
      <c r="B28" s="127" t="s">
        <v>59</v>
      </c>
      <c r="C28" s="137" t="s">
        <v>84</v>
      </c>
      <c r="D28" s="138">
        <v>40858</v>
      </c>
      <c r="E28" s="139">
        <f>F28/160</f>
        <v>7.5062499999999996</v>
      </c>
      <c r="F28" s="140">
        <v>1201</v>
      </c>
    </row>
    <row r="29" spans="2:13" x14ac:dyDescent="0.3">
      <c r="B29" s="127" t="s">
        <v>64</v>
      </c>
      <c r="C29" s="137" t="s">
        <v>84</v>
      </c>
      <c r="D29" s="138">
        <v>40862</v>
      </c>
      <c r="E29" s="139">
        <f>F29/160</f>
        <v>9.375</v>
      </c>
      <c r="F29" s="140">
        <v>1500</v>
      </c>
      <c r="I29" s="143"/>
    </row>
    <row r="30" spans="2:13" x14ac:dyDescent="0.3">
      <c r="B30" s="127" t="s">
        <v>64</v>
      </c>
      <c r="C30" s="137" t="s">
        <v>84</v>
      </c>
      <c r="D30" s="138">
        <v>40863</v>
      </c>
      <c r="E30" s="139">
        <f>F30/160</f>
        <v>9.3874999999999993</v>
      </c>
      <c r="F30" s="140">
        <v>1502</v>
      </c>
    </row>
    <row r="31" spans="2:13" x14ac:dyDescent="0.3">
      <c r="B31" s="127" t="s">
        <v>64</v>
      </c>
      <c r="C31" s="137" t="s">
        <v>84</v>
      </c>
      <c r="D31" s="138">
        <v>40864</v>
      </c>
      <c r="E31" s="139">
        <f>F31/160</f>
        <v>6.8031249999999996</v>
      </c>
      <c r="F31" s="140">
        <v>1088.5</v>
      </c>
    </row>
    <row r="32" spans="2:13" x14ac:dyDescent="0.3">
      <c r="B32" s="127" t="s">
        <v>128</v>
      </c>
      <c r="C32" s="137" t="s">
        <v>84</v>
      </c>
      <c r="D32" s="138">
        <v>40870</v>
      </c>
      <c r="E32" s="139">
        <f>F32/160</f>
        <v>17.5</v>
      </c>
      <c r="F32" s="140">
        <v>2800</v>
      </c>
      <c r="I32" s="143"/>
    </row>
    <row r="33" spans="2:6" x14ac:dyDescent="0.3">
      <c r="B33" s="127" t="s">
        <v>128</v>
      </c>
      <c r="C33" s="137" t="s">
        <v>84</v>
      </c>
      <c r="D33" s="138">
        <v>40871</v>
      </c>
      <c r="E33" s="139">
        <f>F33/160</f>
        <v>7.2015624999999996</v>
      </c>
      <c r="F33" s="140">
        <v>1152.25</v>
      </c>
    </row>
    <row r="34" spans="2:6" x14ac:dyDescent="0.3">
      <c r="B34" s="127" t="s">
        <v>65</v>
      </c>
      <c r="C34" s="137" t="s">
        <v>85</v>
      </c>
      <c r="D34" s="138">
        <v>41125</v>
      </c>
      <c r="E34" s="139">
        <f>F34/160</f>
        <v>6.0343749999999954</v>
      </c>
      <c r="F34" s="140">
        <v>965.4999999999992</v>
      </c>
    </row>
    <row r="35" spans="2:6" x14ac:dyDescent="0.3">
      <c r="B35" s="127" t="s">
        <v>65</v>
      </c>
      <c r="C35" s="137" t="s">
        <v>85</v>
      </c>
      <c r="D35" s="138">
        <v>41126</v>
      </c>
      <c r="E35" s="139">
        <f>F35/160</f>
        <v>6.09375</v>
      </c>
      <c r="F35" s="140">
        <v>975</v>
      </c>
    </row>
    <row r="36" spans="2:6" x14ac:dyDescent="0.3">
      <c r="B36" s="127" t="s">
        <v>65</v>
      </c>
      <c r="C36" s="137" t="s">
        <v>85</v>
      </c>
      <c r="D36" s="138">
        <v>41130</v>
      </c>
      <c r="E36" s="139">
        <f>F36/160</f>
        <v>6.25</v>
      </c>
      <c r="F36" s="140">
        <v>1000</v>
      </c>
    </row>
    <row r="37" spans="2:6" x14ac:dyDescent="0.3">
      <c r="B37" s="127" t="s">
        <v>61</v>
      </c>
      <c r="C37" s="137" t="s">
        <v>85</v>
      </c>
      <c r="D37" s="138">
        <v>41138</v>
      </c>
      <c r="E37" s="139">
        <f>F37/160</f>
        <v>5.9249999999999998</v>
      </c>
      <c r="F37" s="140">
        <v>948</v>
      </c>
    </row>
    <row r="38" spans="2:6" x14ac:dyDescent="0.3">
      <c r="B38" s="127" t="s">
        <v>122</v>
      </c>
      <c r="C38" s="137" t="s">
        <v>123</v>
      </c>
      <c r="D38" s="138">
        <v>41142</v>
      </c>
      <c r="E38" s="139">
        <f>F38/160</f>
        <v>6.1749999999999998</v>
      </c>
      <c r="F38" s="140">
        <v>988</v>
      </c>
    </row>
    <row r="39" spans="2:6" x14ac:dyDescent="0.3">
      <c r="B39" s="127" t="s">
        <v>126</v>
      </c>
      <c r="C39" s="137" t="s">
        <v>123</v>
      </c>
      <c r="D39" s="138">
        <v>41146</v>
      </c>
      <c r="E39" s="139">
        <f>F39/160</f>
        <v>6.3</v>
      </c>
      <c r="F39" s="140">
        <v>1008</v>
      </c>
    </row>
    <row r="40" spans="2:6" x14ac:dyDescent="0.3">
      <c r="B40" s="127" t="s">
        <v>126</v>
      </c>
      <c r="C40" s="137" t="s">
        <v>123</v>
      </c>
      <c r="D40" s="138">
        <v>41148</v>
      </c>
      <c r="E40" s="139">
        <f>F40/160</f>
        <v>6.0906250000000002</v>
      </c>
      <c r="F40" s="140">
        <v>974.5</v>
      </c>
    </row>
    <row r="41" spans="2:6" x14ac:dyDescent="0.3">
      <c r="B41" s="127" t="s">
        <v>127</v>
      </c>
      <c r="C41" s="137" t="s">
        <v>123</v>
      </c>
      <c r="D41" s="138">
        <v>41153</v>
      </c>
      <c r="E41" s="139">
        <f>F41/160</f>
        <v>6.3562500000000002</v>
      </c>
      <c r="F41" s="140">
        <v>1017</v>
      </c>
    </row>
    <row r="42" spans="2:6" x14ac:dyDescent="0.3">
      <c r="B42" s="127" t="s">
        <v>127</v>
      </c>
      <c r="C42" s="137" t="s">
        <v>123</v>
      </c>
      <c r="D42" s="138">
        <v>41155</v>
      </c>
      <c r="E42" s="139">
        <f>F42/160</f>
        <v>6.0625</v>
      </c>
      <c r="F42" s="140">
        <v>970</v>
      </c>
    </row>
    <row r="43" spans="2:6" x14ac:dyDescent="0.3">
      <c r="B43" s="127" t="s">
        <v>124</v>
      </c>
      <c r="C43" s="137" t="s">
        <v>120</v>
      </c>
      <c r="D43" s="138">
        <v>41164</v>
      </c>
      <c r="E43" s="139">
        <f>F43/160</f>
        <v>6.5374999999999996</v>
      </c>
      <c r="F43" s="140">
        <v>1046</v>
      </c>
    </row>
    <row r="44" spans="2:6" x14ac:dyDescent="0.3">
      <c r="B44" s="127" t="s">
        <v>119</v>
      </c>
      <c r="C44" s="137" t="s">
        <v>120</v>
      </c>
      <c r="D44" s="138">
        <v>41171</v>
      </c>
      <c r="E44" s="139">
        <f>F44/160</f>
        <v>6.1375000000000002</v>
      </c>
      <c r="F44" s="140">
        <v>982</v>
      </c>
    </row>
    <row r="45" spans="2:6" x14ac:dyDescent="0.3">
      <c r="B45" s="127" t="s">
        <v>119</v>
      </c>
      <c r="C45" s="137" t="s">
        <v>120</v>
      </c>
      <c r="D45" s="138">
        <v>41175</v>
      </c>
      <c r="E45" s="139">
        <f>F45/160</f>
        <v>6.0062499999999952</v>
      </c>
      <c r="F45" s="140">
        <v>960.9999999999992</v>
      </c>
    </row>
    <row r="46" spans="2:6" x14ac:dyDescent="0.3">
      <c r="B46" s="127" t="s">
        <v>125</v>
      </c>
      <c r="C46" s="137" t="s">
        <v>84</v>
      </c>
      <c r="D46" s="138">
        <v>41248</v>
      </c>
      <c r="E46" s="139">
        <f>F46/160</f>
        <v>5.96875</v>
      </c>
      <c r="F46" s="140">
        <v>955</v>
      </c>
    </row>
    <row r="47" spans="2:6" x14ac:dyDescent="0.3">
      <c r="B47" s="127" t="s">
        <v>59</v>
      </c>
      <c r="C47" s="137" t="s">
        <v>84</v>
      </c>
      <c r="D47" s="138">
        <v>41255</v>
      </c>
      <c r="E47" s="139">
        <f>F47/160</f>
        <v>6.4328124999999998</v>
      </c>
      <c r="F47" s="140">
        <v>1029.25</v>
      </c>
    </row>
    <row r="48" spans="2:6" x14ac:dyDescent="0.3">
      <c r="B48" s="127" t="s">
        <v>64</v>
      </c>
      <c r="C48" s="137" t="s">
        <v>84</v>
      </c>
      <c r="D48" s="138">
        <v>41256</v>
      </c>
      <c r="E48" s="139">
        <f>F48/160</f>
        <v>6.6218750000000002</v>
      </c>
      <c r="F48" s="140">
        <v>1059.5</v>
      </c>
    </row>
    <row r="49" spans="2:6" x14ac:dyDescent="0.3">
      <c r="B49" s="127" t="s">
        <v>65</v>
      </c>
      <c r="C49" s="137" t="s">
        <v>85</v>
      </c>
      <c r="D49" s="138">
        <v>41492</v>
      </c>
      <c r="E49" s="139">
        <f>F49/160</f>
        <v>3.78125</v>
      </c>
      <c r="F49" s="140">
        <v>605</v>
      </c>
    </row>
    <row r="50" spans="2:6" x14ac:dyDescent="0.3">
      <c r="B50" s="127" t="s">
        <v>65</v>
      </c>
      <c r="C50" s="137" t="s">
        <v>85</v>
      </c>
      <c r="D50" s="138">
        <v>41493</v>
      </c>
      <c r="E50" s="139">
        <f>F50/160</f>
        <v>4.5125000000000002</v>
      </c>
      <c r="F50" s="140">
        <v>722</v>
      </c>
    </row>
    <row r="51" spans="2:6" x14ac:dyDescent="0.3">
      <c r="B51" s="127" t="s">
        <v>61</v>
      </c>
      <c r="C51" s="137" t="s">
        <v>85</v>
      </c>
      <c r="D51" s="138">
        <v>41497</v>
      </c>
      <c r="E51" s="139">
        <f>F51/160</f>
        <v>5.46875</v>
      </c>
      <c r="F51" s="140">
        <v>875</v>
      </c>
    </row>
    <row r="52" spans="2:6" x14ac:dyDescent="0.3">
      <c r="B52" s="127" t="s">
        <v>61</v>
      </c>
      <c r="C52" s="137" t="s">
        <v>85</v>
      </c>
      <c r="D52" s="138">
        <v>41498</v>
      </c>
      <c r="E52" s="139">
        <f>F52/160</f>
        <v>5.9015624999999998</v>
      </c>
      <c r="F52" s="140">
        <v>944.25</v>
      </c>
    </row>
    <row r="53" spans="2:6" x14ac:dyDescent="0.3">
      <c r="B53" s="127" t="s">
        <v>61</v>
      </c>
      <c r="C53" s="137" t="s">
        <v>85</v>
      </c>
      <c r="D53" s="138">
        <v>41499</v>
      </c>
      <c r="E53" s="139">
        <f>F53/160</f>
        <v>5.5031249999999998</v>
      </c>
      <c r="F53" s="140">
        <v>880.5</v>
      </c>
    </row>
    <row r="54" spans="2:6" x14ac:dyDescent="0.3">
      <c r="B54" s="127" t="s">
        <v>61</v>
      </c>
      <c r="C54" s="137" t="s">
        <v>85</v>
      </c>
      <c r="D54" s="138">
        <v>41499</v>
      </c>
      <c r="E54" s="139">
        <f>F54/160</f>
        <v>3.8125</v>
      </c>
      <c r="F54" s="140">
        <v>610</v>
      </c>
    </row>
    <row r="55" spans="2:6" x14ac:dyDescent="0.3">
      <c r="B55" s="127" t="s">
        <v>61</v>
      </c>
      <c r="C55" s="137" t="s">
        <v>85</v>
      </c>
      <c r="D55" s="138">
        <v>41500</v>
      </c>
      <c r="E55" s="139">
        <f>F55/160</f>
        <v>4.3640625000000002</v>
      </c>
      <c r="F55" s="140">
        <v>698.25</v>
      </c>
    </row>
    <row r="56" spans="2:6" x14ac:dyDescent="0.3">
      <c r="B56" s="127" t="s">
        <v>61</v>
      </c>
      <c r="C56" s="137" t="s">
        <v>85</v>
      </c>
      <c r="D56" s="138">
        <v>41501</v>
      </c>
      <c r="E56" s="139">
        <f>F56/160</f>
        <v>3.9656250000000002</v>
      </c>
      <c r="F56" s="140">
        <v>634.5</v>
      </c>
    </row>
    <row r="57" spans="2:6" x14ac:dyDescent="0.3">
      <c r="B57" s="127" t="s">
        <v>126</v>
      </c>
      <c r="C57" s="137" t="s">
        <v>123</v>
      </c>
      <c r="D57" s="138">
        <v>41510</v>
      </c>
      <c r="E57" s="139">
        <f>F57/160</f>
        <v>5.3703124999999998</v>
      </c>
      <c r="F57" s="140">
        <v>859.25</v>
      </c>
    </row>
    <row r="58" spans="2:6" x14ac:dyDescent="0.3">
      <c r="B58" s="127" t="s">
        <v>126</v>
      </c>
      <c r="C58" s="137" t="s">
        <v>123</v>
      </c>
      <c r="D58" s="138">
        <v>41514</v>
      </c>
      <c r="E58" s="139">
        <f>F58/160</f>
        <v>4.7625000000000002</v>
      </c>
      <c r="F58" s="140">
        <v>762</v>
      </c>
    </row>
    <row r="59" spans="2:6" x14ac:dyDescent="0.3">
      <c r="B59" s="127" t="s">
        <v>126</v>
      </c>
      <c r="C59" s="137" t="s">
        <v>123</v>
      </c>
      <c r="D59" s="138">
        <v>41515</v>
      </c>
      <c r="E59" s="139">
        <f>F59/160</f>
        <v>3.8328125000000002</v>
      </c>
      <c r="F59" s="140">
        <v>613.25</v>
      </c>
    </row>
    <row r="60" spans="2:6" x14ac:dyDescent="0.3">
      <c r="B60" s="127" t="s">
        <v>127</v>
      </c>
      <c r="C60" s="137" t="s">
        <v>123</v>
      </c>
      <c r="D60" s="138">
        <v>41516</v>
      </c>
      <c r="E60" s="139">
        <f>F60/160</f>
        <v>3.8250000000000002</v>
      </c>
      <c r="F60" s="140">
        <v>612</v>
      </c>
    </row>
    <row r="61" spans="2:6" x14ac:dyDescent="0.3">
      <c r="B61" s="127" t="s">
        <v>124</v>
      </c>
      <c r="C61" s="137" t="s">
        <v>120</v>
      </c>
      <c r="D61" s="138">
        <v>41521</v>
      </c>
      <c r="E61" s="139">
        <f>F61/160</f>
        <v>5.7687499999999998</v>
      </c>
      <c r="F61" s="140">
        <v>923</v>
      </c>
    </row>
    <row r="62" spans="2:6" x14ac:dyDescent="0.3">
      <c r="B62" s="127" t="s">
        <v>124</v>
      </c>
      <c r="C62" s="137" t="s">
        <v>120</v>
      </c>
      <c r="D62" s="138">
        <v>41522</v>
      </c>
      <c r="E62" s="139">
        <f>F62/160</f>
        <v>4.5734374999999998</v>
      </c>
      <c r="F62" s="140">
        <v>731.75</v>
      </c>
    </row>
    <row r="63" spans="2:6" x14ac:dyDescent="0.3">
      <c r="B63" s="127" t="s">
        <v>124</v>
      </c>
      <c r="C63" s="137" t="s">
        <v>120</v>
      </c>
      <c r="D63" s="138">
        <v>41524</v>
      </c>
      <c r="E63" s="139">
        <f>F63/160</f>
        <v>3.3015625000000002</v>
      </c>
      <c r="F63" s="140">
        <v>528.25</v>
      </c>
    </row>
    <row r="64" spans="2:6" x14ac:dyDescent="0.3">
      <c r="B64" s="127" t="s">
        <v>124</v>
      </c>
      <c r="C64" s="137" t="s">
        <v>120</v>
      </c>
      <c r="D64" s="138">
        <v>41525</v>
      </c>
      <c r="E64" s="139">
        <f>F64/160</f>
        <v>3.1687500000000002</v>
      </c>
      <c r="F64" s="140">
        <v>507</v>
      </c>
    </row>
    <row r="65" spans="2:6" x14ac:dyDescent="0.3">
      <c r="B65" s="127" t="s">
        <v>124</v>
      </c>
      <c r="C65" s="137" t="s">
        <v>120</v>
      </c>
      <c r="D65" s="138">
        <v>41526</v>
      </c>
      <c r="E65" s="139">
        <f>F65/160</f>
        <v>4.2312500000000002</v>
      </c>
      <c r="F65" s="140">
        <v>677</v>
      </c>
    </row>
    <row r="66" spans="2:6" x14ac:dyDescent="0.3">
      <c r="B66" s="127" t="s">
        <v>124</v>
      </c>
      <c r="C66" s="137" t="s">
        <v>120</v>
      </c>
      <c r="D66" s="138">
        <v>41530</v>
      </c>
      <c r="E66" s="139">
        <f>F66/160</f>
        <v>5.8125</v>
      </c>
      <c r="F66" s="140">
        <v>930</v>
      </c>
    </row>
    <row r="67" spans="2:6" x14ac:dyDescent="0.3">
      <c r="B67" s="127" t="s">
        <v>124</v>
      </c>
      <c r="C67" s="137" t="s">
        <v>120</v>
      </c>
      <c r="D67" s="138">
        <v>41530</v>
      </c>
      <c r="E67" s="139">
        <f>F67/160</f>
        <v>5.4749999999999996</v>
      </c>
      <c r="F67" s="140">
        <v>876</v>
      </c>
    </row>
    <row r="68" spans="2:6" x14ac:dyDescent="0.3">
      <c r="B68" s="127" t="s">
        <v>124</v>
      </c>
      <c r="C68" s="137" t="s">
        <v>120</v>
      </c>
      <c r="D68" s="138">
        <v>41531</v>
      </c>
      <c r="E68" s="139">
        <f>F68/160</f>
        <v>5.6078124999999996</v>
      </c>
      <c r="F68" s="140">
        <v>897.25</v>
      </c>
    </row>
    <row r="69" spans="2:6" x14ac:dyDescent="0.3">
      <c r="B69" s="127" t="s">
        <v>124</v>
      </c>
      <c r="C69" s="137" t="s">
        <v>120</v>
      </c>
      <c r="D69" s="138">
        <v>41532</v>
      </c>
      <c r="E69" s="139">
        <f>F69/160</f>
        <v>5.3421874999999996</v>
      </c>
      <c r="F69" s="140">
        <v>854.75</v>
      </c>
    </row>
    <row r="70" spans="2:6" x14ac:dyDescent="0.3">
      <c r="B70" s="127" t="s">
        <v>119</v>
      </c>
      <c r="C70" s="137" t="s">
        <v>120</v>
      </c>
      <c r="D70" s="138">
        <v>41533</v>
      </c>
      <c r="E70" s="139">
        <f>F70/160</f>
        <v>5.3125</v>
      </c>
      <c r="F70" s="140">
        <v>850</v>
      </c>
    </row>
    <row r="71" spans="2:6" x14ac:dyDescent="0.3">
      <c r="B71" s="127" t="s">
        <v>119</v>
      </c>
      <c r="C71" s="137" t="s">
        <v>120</v>
      </c>
      <c r="D71" s="138">
        <v>41535</v>
      </c>
      <c r="E71" s="139">
        <f>F71/160</f>
        <v>5.2374999999999954</v>
      </c>
      <c r="F71" s="140">
        <v>837.9999999999992</v>
      </c>
    </row>
    <row r="72" spans="2:6" x14ac:dyDescent="0.3">
      <c r="B72" s="127" t="s">
        <v>119</v>
      </c>
      <c r="C72" s="137" t="s">
        <v>120</v>
      </c>
      <c r="D72" s="138">
        <v>41537</v>
      </c>
      <c r="E72" s="139">
        <f>F72/160</f>
        <v>3.6999999999999948</v>
      </c>
      <c r="F72" s="140">
        <v>591.9999999999992</v>
      </c>
    </row>
    <row r="73" spans="2:6" x14ac:dyDescent="0.3">
      <c r="B73" s="127" t="s">
        <v>119</v>
      </c>
      <c r="C73" s="137" t="s">
        <v>120</v>
      </c>
      <c r="D73" s="138">
        <v>41538</v>
      </c>
      <c r="E73" s="139">
        <f>F73/160</f>
        <v>3.4375</v>
      </c>
      <c r="F73" s="140">
        <v>550</v>
      </c>
    </row>
    <row r="74" spans="2:6" x14ac:dyDescent="0.3">
      <c r="B74" s="127" t="s">
        <v>119</v>
      </c>
      <c r="C74" s="137" t="s">
        <v>120</v>
      </c>
      <c r="D74" s="138">
        <v>41539</v>
      </c>
      <c r="E74" s="139">
        <f>F74/160</f>
        <v>4.7468750000000002</v>
      </c>
      <c r="F74" s="140">
        <v>759.5</v>
      </c>
    </row>
    <row r="75" spans="2:6" x14ac:dyDescent="0.3">
      <c r="B75" s="127" t="s">
        <v>121</v>
      </c>
      <c r="C75" s="137" t="s">
        <v>120</v>
      </c>
      <c r="D75" s="138">
        <v>41542</v>
      </c>
      <c r="E75" s="139">
        <f>F75/160</f>
        <v>4.8390624999999998</v>
      </c>
      <c r="F75" s="140">
        <v>774.25</v>
      </c>
    </row>
    <row r="76" spans="2:6" x14ac:dyDescent="0.3">
      <c r="B76" s="127" t="s">
        <v>121</v>
      </c>
      <c r="C76" s="137" t="s">
        <v>120</v>
      </c>
      <c r="D76" s="138">
        <v>41543</v>
      </c>
      <c r="E76" s="139">
        <f>F76/160</f>
        <v>4.7062499999999998</v>
      </c>
      <c r="F76" s="140">
        <v>753</v>
      </c>
    </row>
    <row r="77" spans="2:6" x14ac:dyDescent="0.3">
      <c r="B77" s="127" t="s">
        <v>121</v>
      </c>
      <c r="C77" s="137" t="s">
        <v>120</v>
      </c>
      <c r="D77" s="138">
        <v>41546</v>
      </c>
      <c r="E77" s="139">
        <f>F77/160</f>
        <v>4.1749999999999998</v>
      </c>
      <c r="F77" s="140">
        <v>668</v>
      </c>
    </row>
    <row r="78" spans="2:6" x14ac:dyDescent="0.3">
      <c r="B78" s="127" t="s">
        <v>121</v>
      </c>
      <c r="C78" s="137" t="s">
        <v>120</v>
      </c>
      <c r="D78" s="138">
        <v>41548</v>
      </c>
      <c r="E78" s="139">
        <f>F78/160</f>
        <v>5.8250000000000002</v>
      </c>
      <c r="F78" s="140">
        <v>932</v>
      </c>
    </row>
    <row r="79" spans="2:6" x14ac:dyDescent="0.3">
      <c r="B79" s="127" t="s">
        <v>125</v>
      </c>
      <c r="C79" s="137" t="s">
        <v>84</v>
      </c>
      <c r="D79" s="138">
        <v>41553</v>
      </c>
      <c r="E79" s="139">
        <f>F79/160</f>
        <v>5.8062500000000004</v>
      </c>
      <c r="F79" s="140">
        <v>929</v>
      </c>
    </row>
    <row r="80" spans="2:6" x14ac:dyDescent="0.3">
      <c r="B80" s="127" t="s">
        <v>125</v>
      </c>
      <c r="C80" s="137" t="s">
        <v>84</v>
      </c>
      <c r="D80" s="138">
        <v>41554</v>
      </c>
      <c r="E80" s="139">
        <f>F80/160</f>
        <v>4.0046875000000002</v>
      </c>
      <c r="F80" s="140">
        <v>640.75</v>
      </c>
    </row>
    <row r="81" spans="2:6" x14ac:dyDescent="0.3">
      <c r="B81" s="127" t="s">
        <v>59</v>
      </c>
      <c r="C81" s="137" t="s">
        <v>84</v>
      </c>
      <c r="D81" s="138">
        <v>41555</v>
      </c>
      <c r="E81" s="139">
        <f>F81/160</f>
        <v>4.9718749999999998</v>
      </c>
      <c r="F81" s="140">
        <v>795.5</v>
      </c>
    </row>
    <row r="82" spans="2:6" x14ac:dyDescent="0.3">
      <c r="B82" s="127" t="s">
        <v>59</v>
      </c>
      <c r="C82" s="137" t="s">
        <v>84</v>
      </c>
      <c r="D82" s="138">
        <v>41556</v>
      </c>
      <c r="E82" s="139">
        <f>F82/160</f>
        <v>4.4406249999999998</v>
      </c>
      <c r="F82" s="140">
        <v>710.5</v>
      </c>
    </row>
    <row r="83" spans="2:6" x14ac:dyDescent="0.3">
      <c r="B83" s="127" t="s">
        <v>128</v>
      </c>
      <c r="C83" s="137" t="s">
        <v>84</v>
      </c>
      <c r="D83" s="138">
        <v>41567</v>
      </c>
      <c r="E83" s="139">
        <f>F83/160</f>
        <v>3.4343750000000002</v>
      </c>
      <c r="F83" s="140">
        <v>549.5</v>
      </c>
    </row>
    <row r="84" spans="2:6" x14ac:dyDescent="0.3">
      <c r="B84" s="127" t="s">
        <v>59</v>
      </c>
      <c r="C84" s="137" t="s">
        <v>84</v>
      </c>
      <c r="D84" s="138">
        <v>41590</v>
      </c>
      <c r="E84" s="139">
        <f>F84/160</f>
        <v>4.8187499999999996</v>
      </c>
      <c r="F84" s="140">
        <v>771</v>
      </c>
    </row>
    <row r="85" spans="2:6" x14ac:dyDescent="0.3">
      <c r="B85" s="127" t="s">
        <v>128</v>
      </c>
      <c r="C85" s="137" t="s">
        <v>84</v>
      </c>
      <c r="D85" s="138">
        <v>41599</v>
      </c>
      <c r="E85" s="139">
        <f>F85/160</f>
        <v>5.7406249999999996</v>
      </c>
      <c r="F85" s="140">
        <v>918.5</v>
      </c>
    </row>
    <row r="86" spans="2:6" x14ac:dyDescent="0.3">
      <c r="B86" s="127" t="s">
        <v>128</v>
      </c>
      <c r="C86" s="137" t="s">
        <v>84</v>
      </c>
      <c r="D86" s="138">
        <v>41600</v>
      </c>
      <c r="E86" s="139">
        <f>F86/160</f>
        <v>5.2093749999999996</v>
      </c>
      <c r="F86" s="140">
        <v>833.5</v>
      </c>
    </row>
    <row r="87" spans="2:6" x14ac:dyDescent="0.3">
      <c r="B87" s="127" t="s">
        <v>121</v>
      </c>
      <c r="C87" s="137" t="s">
        <v>120</v>
      </c>
      <c r="D87" s="138">
        <v>41611</v>
      </c>
      <c r="E87" s="139">
        <f>F87/160</f>
        <v>4.9437499999999996</v>
      </c>
      <c r="F87" s="140">
        <v>791</v>
      </c>
    </row>
    <row r="88" spans="2:6" x14ac:dyDescent="0.3">
      <c r="B88" s="127" t="s">
        <v>64</v>
      </c>
      <c r="C88" s="137" t="s">
        <v>84</v>
      </c>
      <c r="D88" s="138">
        <v>41622</v>
      </c>
      <c r="E88" s="139">
        <f>F88/160</f>
        <v>4.4968749999999948</v>
      </c>
      <c r="F88" s="140">
        <v>719.4999999999992</v>
      </c>
    </row>
    <row r="89" spans="2:6" x14ac:dyDescent="0.3">
      <c r="B89" s="127" t="s">
        <v>128</v>
      </c>
      <c r="C89" s="137" t="s">
        <v>84</v>
      </c>
      <c r="D89" s="138">
        <v>41627</v>
      </c>
      <c r="E89" s="139">
        <f>F89/160</f>
        <v>4.8953125000000002</v>
      </c>
      <c r="F89" s="140">
        <v>783.25</v>
      </c>
    </row>
    <row r="90" spans="2:6" ht="15" x14ac:dyDescent="0.35">
      <c r="B90" s="146"/>
      <c r="C90" s="146"/>
      <c r="D90" s="146"/>
      <c r="E90" s="146"/>
      <c r="F90" s="146"/>
    </row>
    <row r="91" spans="2:6" ht="15" x14ac:dyDescent="0.35">
      <c r="B91" s="146"/>
      <c r="C91" s="146"/>
      <c r="D91" s="146"/>
      <c r="E91" s="146"/>
      <c r="F91" s="146"/>
    </row>
    <row r="92" spans="2:6" ht="15" x14ac:dyDescent="0.35">
      <c r="B92" s="146"/>
      <c r="C92" s="146"/>
      <c r="D92" s="146"/>
      <c r="E92" s="146"/>
      <c r="F92" s="146"/>
    </row>
    <row r="93" spans="2:6" ht="15" x14ac:dyDescent="0.35">
      <c r="B93" s="146"/>
      <c r="C93" s="146"/>
      <c r="D93" s="146"/>
      <c r="E93" s="146"/>
      <c r="F93" s="146"/>
    </row>
    <row r="94" spans="2:6" ht="15" x14ac:dyDescent="0.35">
      <c r="B94" s="146"/>
      <c r="C94" s="146"/>
      <c r="D94" s="146"/>
      <c r="E94" s="146"/>
      <c r="F94" s="146"/>
    </row>
    <row r="95" spans="2:6" ht="15" x14ac:dyDescent="0.35">
      <c r="B95" s="146"/>
      <c r="C95" s="146"/>
      <c r="D95" s="146"/>
      <c r="E95" s="146"/>
      <c r="F95" s="146"/>
    </row>
    <row r="96" spans="2:6" ht="15" x14ac:dyDescent="0.35">
      <c r="B96" s="146"/>
      <c r="C96" s="146"/>
      <c r="D96" s="146"/>
      <c r="E96" s="146"/>
      <c r="F96" s="146"/>
    </row>
    <row r="97" spans="2:6" ht="15" x14ac:dyDescent="0.35">
      <c r="B97" s="146"/>
      <c r="C97" s="146"/>
      <c r="D97" s="146"/>
      <c r="E97" s="146"/>
      <c r="F97" s="146"/>
    </row>
    <row r="98" spans="2:6" ht="15" x14ac:dyDescent="0.35">
      <c r="B98" s="146"/>
      <c r="C98" s="146"/>
      <c r="D98" s="146"/>
      <c r="E98" s="146"/>
      <c r="F98" s="146"/>
    </row>
    <row r="99" spans="2:6" ht="15" x14ac:dyDescent="0.35">
      <c r="B99" s="146"/>
      <c r="C99" s="146"/>
      <c r="D99" s="146"/>
      <c r="E99" s="146"/>
      <c r="F99" s="146"/>
    </row>
    <row r="100" spans="2:6" ht="15" x14ac:dyDescent="0.35">
      <c r="B100" s="146"/>
      <c r="C100" s="146"/>
      <c r="D100" s="146"/>
      <c r="E100" s="146"/>
      <c r="F100" s="146"/>
    </row>
    <row r="101" spans="2:6" ht="15" x14ac:dyDescent="0.35">
      <c r="B101" s="146"/>
      <c r="C101" s="146"/>
      <c r="D101" s="146"/>
      <c r="E101" s="146"/>
      <c r="F101" s="146"/>
    </row>
    <row r="102" spans="2:6" ht="15" x14ac:dyDescent="0.35">
      <c r="B102" s="146"/>
      <c r="C102" s="146"/>
      <c r="D102" s="146"/>
      <c r="E102" s="146"/>
      <c r="F102" s="146"/>
    </row>
    <row r="103" spans="2:6" ht="15" x14ac:dyDescent="0.35">
      <c r="B103" s="146"/>
      <c r="C103" s="146"/>
      <c r="D103" s="146"/>
      <c r="E103" s="146"/>
      <c r="F103" s="146"/>
    </row>
    <row r="104" spans="2:6" ht="15" x14ac:dyDescent="0.35">
      <c r="B104" s="146"/>
      <c r="C104" s="146"/>
      <c r="D104" s="146"/>
      <c r="E104" s="146"/>
      <c r="F104" s="146"/>
    </row>
    <row r="105" spans="2:6" ht="15" x14ac:dyDescent="0.35">
      <c r="B105" s="146"/>
      <c r="C105" s="146"/>
      <c r="D105" s="146"/>
      <c r="E105" s="146"/>
      <c r="F105" s="146"/>
    </row>
    <row r="106" spans="2:6" ht="15" x14ac:dyDescent="0.35">
      <c r="B106" s="146"/>
      <c r="C106" s="146"/>
      <c r="D106" s="146"/>
      <c r="E106" s="146"/>
      <c r="F106" s="146"/>
    </row>
    <row r="107" spans="2:6" ht="15" x14ac:dyDescent="0.35">
      <c r="B107" s="146"/>
      <c r="C107" s="146"/>
      <c r="D107" s="146"/>
      <c r="E107" s="146"/>
      <c r="F107" s="146"/>
    </row>
    <row r="108" spans="2:6" ht="15" x14ac:dyDescent="0.35">
      <c r="B108" s="146"/>
      <c r="C108" s="146"/>
      <c r="D108" s="146"/>
      <c r="E108" s="146"/>
      <c r="F108" s="146"/>
    </row>
    <row r="109" spans="2:6" ht="15" x14ac:dyDescent="0.35">
      <c r="B109" s="146"/>
      <c r="C109" s="146"/>
      <c r="D109" s="146"/>
      <c r="E109" s="146"/>
      <c r="F109" s="146"/>
    </row>
    <row r="110" spans="2:6" ht="15" x14ac:dyDescent="0.35">
      <c r="B110" s="146"/>
      <c r="C110" s="146"/>
      <c r="D110" s="146"/>
      <c r="E110" s="146"/>
      <c r="F110" s="146"/>
    </row>
    <row r="111" spans="2:6" ht="15" x14ac:dyDescent="0.35">
      <c r="B111" s="146"/>
      <c r="C111" s="146"/>
      <c r="D111" s="146"/>
      <c r="E111" s="146"/>
      <c r="F111" s="146"/>
    </row>
    <row r="112" spans="2:6" ht="15" x14ac:dyDescent="0.35">
      <c r="B112" s="146"/>
      <c r="C112" s="146"/>
      <c r="D112" s="146"/>
      <c r="E112" s="146"/>
      <c r="F112" s="146"/>
    </row>
    <row r="113" spans="2:6" ht="15" x14ac:dyDescent="0.35">
      <c r="B113" s="146"/>
      <c r="C113" s="146"/>
      <c r="D113" s="146"/>
      <c r="E113" s="146"/>
      <c r="F113" s="146"/>
    </row>
    <row r="114" spans="2:6" ht="15" x14ac:dyDescent="0.35">
      <c r="B114" s="146"/>
      <c r="C114" s="146"/>
      <c r="D114" s="146"/>
      <c r="E114" s="146"/>
      <c r="F114" s="146"/>
    </row>
    <row r="115" spans="2:6" ht="15" x14ac:dyDescent="0.35">
      <c r="B115" s="146"/>
      <c r="C115" s="146"/>
      <c r="D115" s="146"/>
      <c r="E115" s="146"/>
      <c r="F115" s="146"/>
    </row>
    <row r="116" spans="2:6" ht="15" x14ac:dyDescent="0.35">
      <c r="B116" s="146"/>
      <c r="C116" s="146"/>
      <c r="D116" s="146"/>
      <c r="E116" s="146"/>
      <c r="F116" s="146"/>
    </row>
    <row r="117" spans="2:6" ht="15" x14ac:dyDescent="0.35">
      <c r="B117" s="146"/>
      <c r="C117" s="146"/>
      <c r="D117" s="146"/>
      <c r="E117" s="146"/>
      <c r="F117" s="146"/>
    </row>
    <row r="118" spans="2:6" ht="15" x14ac:dyDescent="0.35">
      <c r="B118" s="146"/>
      <c r="C118" s="146"/>
      <c r="D118" s="146"/>
      <c r="E118" s="146"/>
      <c r="F118" s="146"/>
    </row>
    <row r="119" spans="2:6" ht="15" x14ac:dyDescent="0.35">
      <c r="B119" s="146"/>
      <c r="C119" s="146"/>
      <c r="D119" s="146"/>
      <c r="E119" s="146"/>
      <c r="F119" s="146"/>
    </row>
    <row r="120" spans="2:6" ht="15" x14ac:dyDescent="0.35">
      <c r="B120" s="146"/>
      <c r="C120" s="146"/>
      <c r="D120" s="146"/>
      <c r="E120" s="146"/>
      <c r="F120" s="146"/>
    </row>
    <row r="121" spans="2:6" ht="15" x14ac:dyDescent="0.35">
      <c r="B121" s="146"/>
      <c r="C121" s="146"/>
      <c r="D121" s="146"/>
      <c r="E121" s="146"/>
      <c r="F121" s="146"/>
    </row>
    <row r="122" spans="2:6" ht="15" x14ac:dyDescent="0.35">
      <c r="B122" s="146"/>
      <c r="C122" s="146"/>
      <c r="D122" s="146"/>
      <c r="E122" s="146"/>
      <c r="F122" s="146"/>
    </row>
    <row r="123" spans="2:6" ht="15" x14ac:dyDescent="0.35">
      <c r="B123" s="146"/>
      <c r="C123" s="146"/>
      <c r="D123" s="146"/>
      <c r="E123" s="146"/>
      <c r="F123" s="146"/>
    </row>
    <row r="124" spans="2:6" ht="15" x14ac:dyDescent="0.35">
      <c r="B124" s="146"/>
      <c r="C124" s="146"/>
      <c r="D124" s="146"/>
      <c r="E124" s="146"/>
      <c r="F124" s="146"/>
    </row>
    <row r="125" spans="2:6" ht="15" x14ac:dyDescent="0.35">
      <c r="B125" s="146"/>
      <c r="C125" s="146"/>
      <c r="D125" s="146"/>
      <c r="E125" s="146"/>
      <c r="F125" s="146"/>
    </row>
    <row r="126" spans="2:6" ht="15" x14ac:dyDescent="0.35">
      <c r="B126" s="146"/>
      <c r="C126" s="146"/>
      <c r="D126" s="146"/>
      <c r="E126" s="146"/>
      <c r="F126" s="146"/>
    </row>
    <row r="127" spans="2:6" ht="15" x14ac:dyDescent="0.35">
      <c r="B127" s="146"/>
      <c r="C127" s="146"/>
      <c r="D127" s="146"/>
      <c r="E127" s="146"/>
      <c r="F127" s="146"/>
    </row>
    <row r="128" spans="2:6" ht="15" x14ac:dyDescent="0.35">
      <c r="B128" s="146"/>
      <c r="C128" s="146"/>
      <c r="D128" s="146"/>
      <c r="E128" s="146"/>
      <c r="F128" s="146"/>
    </row>
    <row r="129" spans="2:6" ht="15" x14ac:dyDescent="0.35">
      <c r="B129" s="146"/>
      <c r="C129" s="146"/>
      <c r="D129" s="146"/>
      <c r="E129" s="146"/>
      <c r="F129" s="146"/>
    </row>
    <row r="130" spans="2:6" ht="15" x14ac:dyDescent="0.35">
      <c r="B130" s="146"/>
      <c r="C130" s="146"/>
      <c r="D130" s="146"/>
      <c r="E130" s="146"/>
      <c r="F130" s="146"/>
    </row>
    <row r="131" spans="2:6" ht="15" x14ac:dyDescent="0.35">
      <c r="B131" s="146"/>
      <c r="C131" s="146"/>
      <c r="D131" s="146"/>
      <c r="E131" s="146"/>
      <c r="F131" s="146"/>
    </row>
    <row r="132" spans="2:6" ht="15" x14ac:dyDescent="0.35">
      <c r="B132" s="146"/>
      <c r="C132" s="146"/>
      <c r="D132" s="146"/>
      <c r="E132" s="146"/>
      <c r="F132" s="146"/>
    </row>
    <row r="133" spans="2:6" ht="15" x14ac:dyDescent="0.35">
      <c r="B133" s="146"/>
      <c r="C133" s="146"/>
      <c r="D133" s="146"/>
      <c r="E133" s="146"/>
      <c r="F133" s="146"/>
    </row>
    <row r="134" spans="2:6" ht="15" x14ac:dyDescent="0.35">
      <c r="B134" s="146"/>
      <c r="C134" s="146"/>
      <c r="D134" s="146"/>
      <c r="E134" s="146"/>
      <c r="F134" s="146"/>
    </row>
    <row r="135" spans="2:6" ht="15" x14ac:dyDescent="0.35">
      <c r="B135" s="146"/>
      <c r="C135" s="146"/>
      <c r="D135" s="146"/>
      <c r="E135" s="146"/>
      <c r="F135" s="146"/>
    </row>
    <row r="136" spans="2:6" ht="15" x14ac:dyDescent="0.35">
      <c r="B136" s="146"/>
      <c r="C136" s="146"/>
      <c r="D136" s="146"/>
      <c r="E136" s="146"/>
      <c r="F136" s="146"/>
    </row>
    <row r="137" spans="2:6" ht="15" x14ac:dyDescent="0.35">
      <c r="B137" s="146"/>
      <c r="C137" s="146"/>
      <c r="D137" s="146"/>
      <c r="E137" s="146"/>
      <c r="F137" s="146"/>
    </row>
    <row r="138" spans="2:6" ht="15" x14ac:dyDescent="0.35">
      <c r="B138" s="146"/>
      <c r="C138" s="146"/>
      <c r="D138" s="146"/>
      <c r="E138" s="146"/>
      <c r="F138" s="146"/>
    </row>
    <row r="139" spans="2:6" ht="15" x14ac:dyDescent="0.35">
      <c r="B139" s="146"/>
      <c r="C139" s="146"/>
      <c r="D139" s="146"/>
      <c r="E139" s="146"/>
      <c r="F139" s="146"/>
    </row>
    <row r="140" spans="2:6" ht="15" x14ac:dyDescent="0.35">
      <c r="B140" s="146"/>
      <c r="C140" s="146"/>
      <c r="D140" s="146"/>
      <c r="E140" s="146"/>
      <c r="F140" s="146"/>
    </row>
    <row r="141" spans="2:6" ht="15" x14ac:dyDescent="0.35">
      <c r="B141" s="146"/>
      <c r="C141" s="146"/>
      <c r="D141" s="146"/>
      <c r="E141" s="146"/>
      <c r="F141" s="146"/>
    </row>
    <row r="142" spans="2:6" ht="15" x14ac:dyDescent="0.35">
      <c r="B142" s="146"/>
      <c r="C142" s="146"/>
      <c r="D142" s="146"/>
      <c r="E142" s="146"/>
      <c r="F142" s="146"/>
    </row>
    <row r="143" spans="2:6" ht="15" x14ac:dyDescent="0.35">
      <c r="B143" s="146"/>
      <c r="C143" s="146"/>
      <c r="D143" s="146"/>
      <c r="E143" s="146"/>
      <c r="F143" s="146"/>
    </row>
    <row r="144" spans="2:6" ht="15" x14ac:dyDescent="0.35">
      <c r="B144" s="146"/>
      <c r="C144" s="146"/>
      <c r="D144" s="146"/>
      <c r="E144" s="146"/>
      <c r="F144" s="146"/>
    </row>
    <row r="145" spans="2:6" ht="15" x14ac:dyDescent="0.35">
      <c r="B145" s="146"/>
      <c r="C145" s="146"/>
      <c r="D145" s="146"/>
      <c r="E145" s="146"/>
      <c r="F145" s="146"/>
    </row>
    <row r="146" spans="2:6" ht="15" x14ac:dyDescent="0.35">
      <c r="B146" s="146"/>
      <c r="C146" s="146"/>
      <c r="D146" s="146"/>
      <c r="E146" s="146"/>
      <c r="F146" s="146"/>
    </row>
    <row r="147" spans="2:6" ht="15" x14ac:dyDescent="0.35">
      <c r="B147" s="146"/>
      <c r="C147" s="146"/>
      <c r="D147" s="146"/>
      <c r="E147" s="146"/>
      <c r="F147" s="146"/>
    </row>
    <row r="148" spans="2:6" ht="15" x14ac:dyDescent="0.35">
      <c r="B148" s="146"/>
      <c r="C148" s="146"/>
      <c r="D148" s="146"/>
      <c r="E148" s="146"/>
      <c r="F148" s="146"/>
    </row>
    <row r="149" spans="2:6" ht="15" x14ac:dyDescent="0.35">
      <c r="B149" s="146"/>
      <c r="C149" s="146"/>
      <c r="D149" s="146"/>
      <c r="E149" s="146"/>
      <c r="F149" s="146"/>
    </row>
    <row r="150" spans="2:6" ht="15" x14ac:dyDescent="0.35">
      <c r="B150" s="146"/>
      <c r="C150" s="146"/>
      <c r="D150" s="146"/>
      <c r="E150" s="146"/>
      <c r="F150" s="146"/>
    </row>
    <row r="151" spans="2:6" ht="15" x14ac:dyDescent="0.35">
      <c r="B151" s="146"/>
      <c r="C151" s="146"/>
      <c r="D151" s="146"/>
      <c r="E151" s="146"/>
      <c r="F151" s="146"/>
    </row>
    <row r="152" spans="2:6" ht="15" x14ac:dyDescent="0.35">
      <c r="B152" s="146"/>
      <c r="C152" s="146"/>
      <c r="D152" s="146"/>
      <c r="E152" s="146"/>
      <c r="F152" s="146"/>
    </row>
    <row r="153" spans="2:6" ht="15" x14ac:dyDescent="0.35">
      <c r="B153" s="146"/>
      <c r="C153" s="146"/>
      <c r="D153" s="146"/>
      <c r="E153" s="146"/>
      <c r="F153" s="146"/>
    </row>
    <row r="154" spans="2:6" ht="15" x14ac:dyDescent="0.35">
      <c r="B154" s="146"/>
      <c r="C154" s="146"/>
      <c r="D154" s="146"/>
      <c r="E154" s="146"/>
      <c r="F154" s="146"/>
    </row>
    <row r="155" spans="2:6" ht="15" x14ac:dyDescent="0.35">
      <c r="B155" s="146"/>
      <c r="C155" s="146"/>
      <c r="D155" s="146"/>
      <c r="E155" s="146"/>
      <c r="F155" s="146"/>
    </row>
    <row r="156" spans="2:6" ht="15" x14ac:dyDescent="0.35">
      <c r="B156" s="146"/>
      <c r="C156" s="146"/>
      <c r="D156" s="146"/>
      <c r="E156" s="146"/>
      <c r="F156" s="146"/>
    </row>
    <row r="157" spans="2:6" ht="15" x14ac:dyDescent="0.35">
      <c r="B157" s="146"/>
      <c r="C157" s="146"/>
      <c r="D157" s="146"/>
      <c r="E157" s="146"/>
      <c r="F157" s="146"/>
    </row>
    <row r="158" spans="2:6" ht="15" x14ac:dyDescent="0.35">
      <c r="B158" s="146"/>
      <c r="C158" s="146"/>
      <c r="D158" s="146"/>
      <c r="E158" s="146"/>
      <c r="F158" s="146"/>
    </row>
  </sheetData>
  <pageMargins left="0.75" right="0.75" top="1" bottom="1" header="0.5" footer="0.5"/>
  <pageSetup scale="59" orientation="landscape" horizontalDpi="4294967292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I94"/>
  <sheetViews>
    <sheetView workbookViewId="0"/>
  </sheetViews>
  <sheetFormatPr defaultColWidth="8" defaultRowHeight="13.2" x14ac:dyDescent="0.25"/>
  <cols>
    <col min="1" max="1" width="9" style="17" customWidth="1"/>
    <col min="2" max="6" width="8" style="17" customWidth="1"/>
    <col min="7" max="7" width="8.796875" style="17" customWidth="1"/>
    <col min="8" max="16384" width="8" style="17"/>
  </cols>
  <sheetData>
    <row r="2" spans="2:9" ht="13.8" x14ac:dyDescent="0.25">
      <c r="B2" s="36"/>
    </row>
    <row r="3" spans="2:9" ht="13.8" x14ac:dyDescent="0.25">
      <c r="B3" s="36" t="s">
        <v>223</v>
      </c>
    </row>
    <row r="5" spans="2:9" ht="15.6" x14ac:dyDescent="0.3">
      <c r="B5" s="25"/>
    </row>
    <row r="6" spans="2:9" x14ac:dyDescent="0.25">
      <c r="B6" s="20" t="s">
        <v>86</v>
      </c>
    </row>
    <row r="7" spans="2:9" x14ac:dyDescent="0.25">
      <c r="B7" s="20" t="s">
        <v>87</v>
      </c>
    </row>
    <row r="8" spans="2:9" x14ac:dyDescent="0.25">
      <c r="B8" s="20" t="s">
        <v>88</v>
      </c>
    </row>
    <row r="11" spans="2:9" x14ac:dyDescent="0.25">
      <c r="F11" s="18" t="s">
        <v>89</v>
      </c>
      <c r="I11" s="20" t="s">
        <v>224</v>
      </c>
    </row>
    <row r="12" spans="2:9" x14ac:dyDescent="0.25">
      <c r="F12" s="19">
        <v>-5.7</v>
      </c>
      <c r="I12" s="17">
        <v>-30</v>
      </c>
    </row>
    <row r="13" spans="2:9" x14ac:dyDescent="0.25">
      <c r="F13" s="19">
        <v>1.2</v>
      </c>
      <c r="I13" s="17">
        <v>-20</v>
      </c>
    </row>
    <row r="14" spans="2:9" x14ac:dyDescent="0.25">
      <c r="F14" s="19">
        <v>4.0999999999999996</v>
      </c>
      <c r="I14" s="17">
        <v>-10</v>
      </c>
    </row>
    <row r="15" spans="2:9" x14ac:dyDescent="0.25">
      <c r="F15" s="19">
        <v>3.2</v>
      </c>
      <c r="I15" s="17">
        <v>0</v>
      </c>
    </row>
    <row r="16" spans="2:9" x14ac:dyDescent="0.25">
      <c r="F16" s="19">
        <v>7.3</v>
      </c>
      <c r="I16" s="17">
        <v>10</v>
      </c>
    </row>
    <row r="17" spans="6:9" x14ac:dyDescent="0.25">
      <c r="F17" s="19">
        <v>7.5</v>
      </c>
      <c r="I17" s="17">
        <v>20</v>
      </c>
    </row>
    <row r="18" spans="6:9" x14ac:dyDescent="0.25">
      <c r="F18" s="19">
        <v>18.600000000000001</v>
      </c>
    </row>
    <row r="19" spans="6:9" x14ac:dyDescent="0.25">
      <c r="F19" s="19">
        <v>3.7</v>
      </c>
    </row>
    <row r="20" spans="6:9" x14ac:dyDescent="0.25">
      <c r="F20" s="19">
        <v>-1.8</v>
      </c>
    </row>
    <row r="21" spans="6:9" x14ac:dyDescent="0.25">
      <c r="F21" s="19">
        <v>2.4</v>
      </c>
    </row>
    <row r="22" spans="6:9" x14ac:dyDescent="0.25">
      <c r="F22" s="19">
        <v>-6.5</v>
      </c>
    </row>
    <row r="23" spans="6:9" x14ac:dyDescent="0.25">
      <c r="F23" s="19">
        <v>6.7</v>
      </c>
    </row>
    <row r="24" spans="6:9" x14ac:dyDescent="0.25">
      <c r="F24" s="19">
        <v>9.4</v>
      </c>
    </row>
    <row r="25" spans="6:9" x14ac:dyDescent="0.25">
      <c r="F25" s="19">
        <v>-2</v>
      </c>
    </row>
    <row r="26" spans="6:9" x14ac:dyDescent="0.25">
      <c r="F26" s="19">
        <v>-2.8</v>
      </c>
    </row>
    <row r="27" spans="6:9" x14ac:dyDescent="0.25">
      <c r="F27" s="19">
        <v>-3.4</v>
      </c>
    </row>
    <row r="28" spans="6:9" x14ac:dyDescent="0.25">
      <c r="F28" s="19">
        <v>19.2</v>
      </c>
    </row>
    <row r="29" spans="6:9" x14ac:dyDescent="0.25">
      <c r="F29" s="19">
        <v>-4.8</v>
      </c>
    </row>
    <row r="30" spans="6:9" x14ac:dyDescent="0.25">
      <c r="F30" s="19">
        <v>0.5</v>
      </c>
    </row>
    <row r="31" spans="6:9" x14ac:dyDescent="0.25">
      <c r="F31" s="19">
        <v>-0.6</v>
      </c>
    </row>
    <row r="32" spans="6:9" x14ac:dyDescent="0.25">
      <c r="F32" s="19">
        <v>2.8</v>
      </c>
    </row>
    <row r="33" spans="6:6" x14ac:dyDescent="0.25">
      <c r="F33" s="19">
        <v>-0.5</v>
      </c>
    </row>
    <row r="34" spans="6:6" x14ac:dyDescent="0.25">
      <c r="F34" s="19">
        <v>-4.5</v>
      </c>
    </row>
    <row r="35" spans="6:6" x14ac:dyDescent="0.25">
      <c r="F35" s="19">
        <v>8.6999999999999993</v>
      </c>
    </row>
    <row r="36" spans="6:6" x14ac:dyDescent="0.25">
      <c r="F36" s="19">
        <v>2.7</v>
      </c>
    </row>
    <row r="37" spans="6:6" x14ac:dyDescent="0.25">
      <c r="F37" s="19">
        <v>4.0999999999999996</v>
      </c>
    </row>
    <row r="38" spans="6:6" x14ac:dyDescent="0.25">
      <c r="F38" s="19">
        <v>-10.3</v>
      </c>
    </row>
    <row r="39" spans="6:6" x14ac:dyDescent="0.25">
      <c r="F39" s="19">
        <v>4.8</v>
      </c>
    </row>
    <row r="40" spans="6:6" x14ac:dyDescent="0.25">
      <c r="F40" s="19">
        <v>-2.2999999999999998</v>
      </c>
    </row>
    <row r="41" spans="6:6" x14ac:dyDescent="0.25">
      <c r="F41" s="19">
        <v>-3.1</v>
      </c>
    </row>
    <row r="42" spans="6:6" x14ac:dyDescent="0.25">
      <c r="F42" s="19">
        <v>-10.199999999999999</v>
      </c>
    </row>
    <row r="43" spans="6:6" x14ac:dyDescent="0.25">
      <c r="F43" s="19">
        <v>-3.7</v>
      </c>
    </row>
    <row r="44" spans="6:6" x14ac:dyDescent="0.25">
      <c r="F44" s="19">
        <v>-26.6</v>
      </c>
    </row>
    <row r="45" spans="6:6" x14ac:dyDescent="0.25">
      <c r="F45" s="19">
        <v>7.2</v>
      </c>
    </row>
    <row r="46" spans="6:6" x14ac:dyDescent="0.25">
      <c r="F46" s="19">
        <v>-2.9</v>
      </c>
    </row>
    <row r="47" spans="6:6" x14ac:dyDescent="0.25">
      <c r="F47" s="19">
        <v>-2.2999999999999998</v>
      </c>
    </row>
    <row r="48" spans="6:6" x14ac:dyDescent="0.25">
      <c r="F48" s="19">
        <v>3.5</v>
      </c>
    </row>
    <row r="49" spans="6:6" x14ac:dyDescent="0.25">
      <c r="F49" s="19">
        <v>-4.5999999999999996</v>
      </c>
    </row>
    <row r="50" spans="6:6" x14ac:dyDescent="0.25">
      <c r="F50" s="19">
        <v>17.2</v>
      </c>
    </row>
    <row r="51" spans="6:6" x14ac:dyDescent="0.25">
      <c r="F51" s="19">
        <v>4.2</v>
      </c>
    </row>
    <row r="52" spans="6:6" x14ac:dyDescent="0.25">
      <c r="F52" s="19">
        <v>0.5</v>
      </c>
    </row>
    <row r="53" spans="6:6" x14ac:dyDescent="0.25">
      <c r="F53" s="19">
        <v>8.3000000000000007</v>
      </c>
    </row>
    <row r="54" spans="6:6" x14ac:dyDescent="0.25">
      <c r="F54" s="19">
        <v>-7.1</v>
      </c>
    </row>
    <row r="55" spans="6:6" x14ac:dyDescent="0.25">
      <c r="F55" s="19">
        <v>-8.4</v>
      </c>
    </row>
    <row r="56" spans="6:6" x14ac:dyDescent="0.25">
      <c r="F56" s="19">
        <v>7.7</v>
      </c>
    </row>
    <row r="57" spans="6:6" x14ac:dyDescent="0.25">
      <c r="F57" s="19">
        <v>-9.6</v>
      </c>
    </row>
    <row r="58" spans="6:6" x14ac:dyDescent="0.25">
      <c r="F58" s="19">
        <v>6</v>
      </c>
    </row>
    <row r="59" spans="6:6" x14ac:dyDescent="0.25">
      <c r="F59" s="19">
        <v>6.8</v>
      </c>
    </row>
    <row r="60" spans="6:6" x14ac:dyDescent="0.25">
      <c r="F60" s="19">
        <v>10.9</v>
      </c>
    </row>
    <row r="61" spans="6:6" x14ac:dyDescent="0.25">
      <c r="F61" s="19">
        <v>1.6</v>
      </c>
    </row>
    <row r="62" spans="6:6" x14ac:dyDescent="0.25">
      <c r="F62" s="19">
        <v>0.2</v>
      </c>
    </row>
    <row r="63" spans="6:6" x14ac:dyDescent="0.25">
      <c r="F63" s="19">
        <v>-2.4</v>
      </c>
    </row>
    <row r="64" spans="6:6" x14ac:dyDescent="0.25">
      <c r="F64" s="19">
        <v>-2.4</v>
      </c>
    </row>
    <row r="65" spans="6:6" x14ac:dyDescent="0.25">
      <c r="F65" s="19">
        <v>3.9</v>
      </c>
    </row>
    <row r="66" spans="6:6" x14ac:dyDescent="0.25">
      <c r="F66" s="19">
        <v>1.7</v>
      </c>
    </row>
    <row r="67" spans="6:6" x14ac:dyDescent="0.25">
      <c r="F67" s="19">
        <v>9</v>
      </c>
    </row>
    <row r="68" spans="6:6" x14ac:dyDescent="0.25">
      <c r="F68" s="19">
        <v>3.6</v>
      </c>
    </row>
    <row r="69" spans="6:6" x14ac:dyDescent="0.25">
      <c r="F69" s="19">
        <v>7.6</v>
      </c>
    </row>
    <row r="70" spans="6:6" x14ac:dyDescent="0.25">
      <c r="F70" s="19">
        <v>3.2</v>
      </c>
    </row>
    <row r="71" spans="6:6" x14ac:dyDescent="0.25">
      <c r="F71" s="19">
        <v>-3.7</v>
      </c>
    </row>
    <row r="72" spans="6:6" x14ac:dyDescent="0.25">
      <c r="F72" s="19">
        <v>4.2</v>
      </c>
    </row>
    <row r="73" spans="6:6" x14ac:dyDescent="0.25">
      <c r="F73" s="19">
        <v>13.2</v>
      </c>
    </row>
    <row r="74" spans="6:6" x14ac:dyDescent="0.25">
      <c r="F74" s="19">
        <v>0.9</v>
      </c>
    </row>
    <row r="75" spans="6:6" x14ac:dyDescent="0.25">
      <c r="F75" s="19">
        <v>4.2</v>
      </c>
    </row>
    <row r="76" spans="6:6" x14ac:dyDescent="0.25">
      <c r="F76" s="19">
        <v>4</v>
      </c>
    </row>
    <row r="77" spans="6:6" x14ac:dyDescent="0.25">
      <c r="F77" s="19">
        <v>2.8</v>
      </c>
    </row>
    <row r="78" spans="6:6" x14ac:dyDescent="0.25">
      <c r="F78" s="19">
        <v>6.7</v>
      </c>
    </row>
    <row r="79" spans="6:6" x14ac:dyDescent="0.25">
      <c r="F79" s="19">
        <v>-10.4</v>
      </c>
    </row>
    <row r="80" spans="6:6" x14ac:dyDescent="0.25">
      <c r="F80" s="19">
        <v>2.7</v>
      </c>
    </row>
    <row r="81" spans="6:6" x14ac:dyDescent="0.25">
      <c r="F81" s="19">
        <v>10.3</v>
      </c>
    </row>
    <row r="82" spans="6:6" x14ac:dyDescent="0.25">
      <c r="F82" s="19">
        <v>5.7</v>
      </c>
    </row>
    <row r="83" spans="6:6" x14ac:dyDescent="0.25">
      <c r="F83" s="19">
        <v>0.6</v>
      </c>
    </row>
    <row r="84" spans="6:6" x14ac:dyDescent="0.25">
      <c r="F84" s="19">
        <v>-14.2</v>
      </c>
    </row>
    <row r="85" spans="6:6" x14ac:dyDescent="0.25">
      <c r="F85" s="19">
        <v>1.3</v>
      </c>
    </row>
    <row r="86" spans="6:6" x14ac:dyDescent="0.25">
      <c r="F86" s="19">
        <v>2.9</v>
      </c>
    </row>
    <row r="87" spans="6:6" x14ac:dyDescent="0.25">
      <c r="F87" s="19">
        <v>11.8</v>
      </c>
    </row>
    <row r="88" spans="6:6" x14ac:dyDescent="0.25">
      <c r="F88" s="19">
        <v>10.6</v>
      </c>
    </row>
    <row r="89" spans="6:6" x14ac:dyDescent="0.25">
      <c r="F89" s="19">
        <v>5.2</v>
      </c>
    </row>
    <row r="90" spans="6:6" x14ac:dyDescent="0.25">
      <c r="F90" s="19">
        <v>13.8</v>
      </c>
    </row>
    <row r="91" spans="6:6" x14ac:dyDescent="0.25">
      <c r="F91" s="19">
        <v>-14.7</v>
      </c>
    </row>
    <row r="92" spans="6:6" x14ac:dyDescent="0.25">
      <c r="F92" s="19">
        <v>3.5</v>
      </c>
    </row>
    <row r="93" spans="6:6" x14ac:dyDescent="0.25">
      <c r="F93" s="19">
        <v>11.7</v>
      </c>
    </row>
    <row r="94" spans="6:6" x14ac:dyDescent="0.25">
      <c r="F94" s="19">
        <v>1.3</v>
      </c>
    </row>
  </sheetData>
  <phoneticPr fontId="9" type="noConversion"/>
  <printOptions horizontalCentered="1"/>
  <pageMargins left="0.75" right="0.75" top="1.57" bottom="1" header="0.5" footer="0.5"/>
  <pageSetup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S21"/>
  <sheetViews>
    <sheetView workbookViewId="0">
      <selection activeCell="B2" sqref="B2"/>
    </sheetView>
  </sheetViews>
  <sheetFormatPr defaultColWidth="9" defaultRowHeight="13.8" x14ac:dyDescent="0.25"/>
  <cols>
    <col min="1" max="1" width="9" style="105"/>
    <col min="2" max="2" width="13.59765625" style="105" customWidth="1"/>
    <col min="3" max="12" width="9" style="105"/>
    <col min="13" max="13" width="10.59765625" style="105" bestFit="1" customWidth="1"/>
    <col min="14" max="14" width="9.19921875" style="105" bestFit="1" customWidth="1"/>
    <col min="15" max="15" width="9" style="105"/>
    <col min="16" max="16" width="10.09765625" style="105" bestFit="1" customWidth="1"/>
    <col min="17" max="17" width="10" style="105" bestFit="1" customWidth="1"/>
    <col min="18" max="18" width="9" style="105"/>
    <col min="19" max="19" width="11.296875" style="105" bestFit="1" customWidth="1"/>
    <col min="20" max="16384" width="9" style="105"/>
  </cols>
  <sheetData>
    <row r="2" spans="2:19" x14ac:dyDescent="0.25">
      <c r="B2" s="36"/>
    </row>
    <row r="3" spans="2:19" x14ac:dyDescent="0.25">
      <c r="B3" s="36" t="s">
        <v>174</v>
      </c>
    </row>
    <row r="6" spans="2:19" x14ac:dyDescent="0.25">
      <c r="B6" s="106" t="s">
        <v>93</v>
      </c>
      <c r="C6" s="107" t="s">
        <v>190</v>
      </c>
      <c r="D6" s="107" t="s">
        <v>191</v>
      </c>
      <c r="E6" s="107" t="s">
        <v>180</v>
      </c>
      <c r="F6" s="108" t="s">
        <v>176</v>
      </c>
      <c r="G6" s="107" t="s">
        <v>181</v>
      </c>
      <c r="H6" s="107" t="s">
        <v>182</v>
      </c>
      <c r="I6" s="107" t="s">
        <v>183</v>
      </c>
      <c r="J6" s="108" t="s">
        <v>177</v>
      </c>
      <c r="K6" s="107" t="s">
        <v>184</v>
      </c>
      <c r="L6" s="107" t="s">
        <v>185</v>
      </c>
      <c r="M6" s="107" t="s">
        <v>186</v>
      </c>
      <c r="N6" s="108" t="s">
        <v>178</v>
      </c>
      <c r="O6" s="107" t="s">
        <v>187</v>
      </c>
      <c r="P6" s="107" t="s">
        <v>188</v>
      </c>
      <c r="Q6" s="107" t="s">
        <v>189</v>
      </c>
      <c r="R6" s="108" t="s">
        <v>179</v>
      </c>
      <c r="S6" s="106" t="s">
        <v>195</v>
      </c>
    </row>
    <row r="7" spans="2:19" x14ac:dyDescent="0.25">
      <c r="B7" s="105" t="s">
        <v>103</v>
      </c>
      <c r="C7" s="109">
        <v>1130</v>
      </c>
      <c r="D7" s="109">
        <v>1243</v>
      </c>
      <c r="E7" s="109">
        <v>1367.3000000000002</v>
      </c>
      <c r="F7" s="110">
        <f>SUM(C7:E7)</f>
        <v>3740.3</v>
      </c>
      <c r="G7" s="109">
        <v>1654.4330000000007</v>
      </c>
      <c r="H7" s="109">
        <v>1819.8763000000008</v>
      </c>
      <c r="I7" s="109">
        <v>2001.8639300000011</v>
      </c>
      <c r="J7" s="110">
        <f>SUM(G7:I7)</f>
        <v>5476.1732300000031</v>
      </c>
      <c r="K7" s="109">
        <v>2422.2553553000016</v>
      </c>
      <c r="L7" s="109">
        <v>2664.480890830002</v>
      </c>
      <c r="M7" s="109">
        <v>2930.9289799130024</v>
      </c>
      <c r="N7" s="110">
        <f>SUM(K7:M7)</f>
        <v>8017.6652260430055</v>
      </c>
      <c r="O7" s="109">
        <v>3546.4240656947336</v>
      </c>
      <c r="P7" s="109">
        <v>3901.0664722642073</v>
      </c>
      <c r="Q7" s="109">
        <v>4291.1731194906288</v>
      </c>
      <c r="R7" s="110">
        <f>SUM(O7:Q7)</f>
        <v>11738.66365744957</v>
      </c>
      <c r="S7" s="110">
        <f>SUM(R7,N7,J7,F7)</f>
        <v>28972.80211349258</v>
      </c>
    </row>
    <row r="8" spans="2:19" x14ac:dyDescent="0.25">
      <c r="B8" s="105" t="s">
        <v>104</v>
      </c>
      <c r="C8" s="109">
        <v>890</v>
      </c>
      <c r="D8" s="109">
        <v>987.90000000000009</v>
      </c>
      <c r="E8" s="109">
        <v>1096.5690000000002</v>
      </c>
      <c r="F8" s="110">
        <f t="shared" ref="F8:F9" si="0">SUM(C8:E8)</f>
        <v>2974.4690000000001</v>
      </c>
      <c r="G8" s="109">
        <v>1351.0826649000005</v>
      </c>
      <c r="H8" s="109">
        <v>1499.7017580390007</v>
      </c>
      <c r="I8" s="109">
        <v>1664.6689514232908</v>
      </c>
      <c r="J8" s="110">
        <f t="shared" ref="J8:J9" si="1">SUM(G8:I8)</f>
        <v>4515.4533743622924</v>
      </c>
      <c r="K8" s="109">
        <v>2051.038615048637</v>
      </c>
      <c r="L8" s="109">
        <v>2276.6528627039875</v>
      </c>
      <c r="M8" s="109">
        <v>2527.0846776014264</v>
      </c>
      <c r="N8" s="110">
        <f t="shared" ref="N8:N9" si="2">SUM(K8:M8)</f>
        <v>6854.7761553540513</v>
      </c>
      <c r="O8" s="109">
        <v>3113.621031272718</v>
      </c>
      <c r="P8" s="109">
        <v>3456.1193447127175</v>
      </c>
      <c r="Q8" s="109">
        <v>3836.2924726311167</v>
      </c>
      <c r="R8" s="110">
        <f t="shared" ref="R8:R19" si="3">SUM(O8:Q8)</f>
        <v>10406.032848616553</v>
      </c>
      <c r="S8" s="110">
        <f t="shared" ref="S8:S9" si="4">SUM(R8,N8,J8,F8)</f>
        <v>24750.731378332897</v>
      </c>
    </row>
    <row r="9" spans="2:19" x14ac:dyDescent="0.25">
      <c r="B9" s="111" t="s">
        <v>97</v>
      </c>
      <c r="C9" s="112">
        <v>4210</v>
      </c>
      <c r="D9" s="112">
        <v>4588.9000000000005</v>
      </c>
      <c r="E9" s="112">
        <v>5001.9010000000007</v>
      </c>
      <c r="F9" s="113">
        <f t="shared" si="0"/>
        <v>13800.801000000003</v>
      </c>
      <c r="G9" s="112">
        <v>5942.7585781000016</v>
      </c>
      <c r="H9" s="112">
        <v>6477.6068501290019</v>
      </c>
      <c r="I9" s="112">
        <v>7060.5914666406125</v>
      </c>
      <c r="J9" s="113">
        <f t="shared" si="1"/>
        <v>19480.956894869618</v>
      </c>
      <c r="K9" s="112">
        <v>8388.688721515713</v>
      </c>
      <c r="L9" s="112">
        <v>9143.670706452127</v>
      </c>
      <c r="M9" s="112">
        <v>9966.6010700328188</v>
      </c>
      <c r="N9" s="113">
        <f t="shared" si="2"/>
        <v>27498.960498000659</v>
      </c>
      <c r="O9" s="112">
        <v>11841.318731305993</v>
      </c>
      <c r="P9" s="112">
        <v>12907.037417123534</v>
      </c>
      <c r="Q9" s="112">
        <v>14068.670784664653</v>
      </c>
      <c r="R9" s="113">
        <f t="shared" si="3"/>
        <v>38817.026933094181</v>
      </c>
      <c r="S9" s="113">
        <f t="shared" si="4"/>
        <v>99597.745325964468</v>
      </c>
    </row>
    <row r="10" spans="2:19" x14ac:dyDescent="0.25">
      <c r="B10" s="114" t="s">
        <v>196</v>
      </c>
      <c r="C10" s="109">
        <f>SUM(C7:C9)</f>
        <v>6230</v>
      </c>
      <c r="D10" s="109">
        <f t="shared" ref="D10:R19" si="5">SUM(D7:D9)</f>
        <v>6819.8000000000011</v>
      </c>
      <c r="E10" s="109">
        <f t="shared" si="5"/>
        <v>7465.7700000000013</v>
      </c>
      <c r="F10" s="110">
        <f t="shared" si="5"/>
        <v>20515.570000000003</v>
      </c>
      <c r="G10" s="109">
        <f t="shared" si="5"/>
        <v>8948.2742430000035</v>
      </c>
      <c r="H10" s="109">
        <f t="shared" si="5"/>
        <v>9797.1849081680029</v>
      </c>
      <c r="I10" s="109">
        <f t="shared" si="5"/>
        <v>10727.124348063904</v>
      </c>
      <c r="J10" s="110">
        <f t="shared" si="5"/>
        <v>29472.583499231914</v>
      </c>
      <c r="K10" s="109">
        <f t="shared" si="5"/>
        <v>12861.982691864352</v>
      </c>
      <c r="L10" s="109">
        <f t="shared" si="5"/>
        <v>14084.804459986117</v>
      </c>
      <c r="M10" s="109">
        <f t="shared" si="5"/>
        <v>15424.614727547247</v>
      </c>
      <c r="N10" s="110">
        <f t="shared" si="5"/>
        <v>42371.401879397716</v>
      </c>
      <c r="O10" s="109">
        <f t="shared" si="5"/>
        <v>18501.363828273446</v>
      </c>
      <c r="P10" s="109">
        <f t="shared" si="5"/>
        <v>20264.22323410046</v>
      </c>
      <c r="Q10" s="109">
        <f t="shared" si="5"/>
        <v>22196.136376786399</v>
      </c>
      <c r="R10" s="110">
        <f t="shared" si="3"/>
        <v>60961.723439160298</v>
      </c>
      <c r="S10" s="110">
        <f>SUM(R10,N10,J10,F10)</f>
        <v>153321.27881778992</v>
      </c>
    </row>
    <row r="11" spans="2:19" x14ac:dyDescent="0.25">
      <c r="C11" s="109"/>
      <c r="D11" s="109"/>
      <c r="E11" s="109"/>
      <c r="F11" s="110"/>
      <c r="G11" s="109"/>
      <c r="H11" s="109"/>
      <c r="I11" s="109"/>
      <c r="J11" s="110"/>
      <c r="K11" s="109"/>
      <c r="L11" s="109"/>
      <c r="M11" s="109"/>
      <c r="N11" s="110"/>
      <c r="O11" s="109"/>
      <c r="P11" s="109"/>
      <c r="Q11" s="109"/>
      <c r="R11" s="110"/>
      <c r="S11" s="106"/>
    </row>
    <row r="12" spans="2:19" x14ac:dyDescent="0.25">
      <c r="B12" s="105" t="s">
        <v>197</v>
      </c>
      <c r="C12" s="109">
        <v>1126</v>
      </c>
      <c r="D12" s="109">
        <v>1153.0240000000001</v>
      </c>
      <c r="E12" s="109">
        <v>1180.6965760000001</v>
      </c>
      <c r="F12" s="110">
        <f t="shared" si="5"/>
        <v>34316.371000000006</v>
      </c>
      <c r="G12" s="109">
        <v>1238.050092875776</v>
      </c>
      <c r="H12" s="109">
        <v>1267.7632951047947</v>
      </c>
      <c r="I12" s="109">
        <v>1298.1896141873099</v>
      </c>
      <c r="J12" s="110">
        <f t="shared" si="5"/>
        <v>48953.540394101532</v>
      </c>
      <c r="K12" s="109">
        <v>1361.2504728860727</v>
      </c>
      <c r="L12" s="109">
        <v>1393.9204842353383</v>
      </c>
      <c r="M12" s="109">
        <v>1427.3745758569864</v>
      </c>
      <c r="N12" s="110">
        <f t="shared" si="5"/>
        <v>69870.362377398371</v>
      </c>
      <c r="O12" s="109">
        <v>1496.7107232538156</v>
      </c>
      <c r="P12" s="109">
        <v>1532.6317806119071</v>
      </c>
      <c r="Q12" s="109">
        <v>1569.414943346593</v>
      </c>
      <c r="R12" s="110">
        <f t="shared" si="3"/>
        <v>4598.7574472123151</v>
      </c>
      <c r="S12" s="110">
        <f>SUM(R12,N12,J12,F12)</f>
        <v>157739.03121871222</v>
      </c>
    </row>
    <row r="13" spans="2:19" x14ac:dyDescent="0.25">
      <c r="B13" s="105" t="s">
        <v>198</v>
      </c>
      <c r="C13" s="109">
        <v>2104</v>
      </c>
      <c r="D13" s="109">
        <v>2154.4960000000001</v>
      </c>
      <c r="E13" s="109">
        <v>2206.203904</v>
      </c>
      <c r="F13" s="110">
        <f t="shared" si="5"/>
        <v>54831.941000000006</v>
      </c>
      <c r="G13" s="109">
        <v>2313.3724648407042</v>
      </c>
      <c r="H13" s="109">
        <v>2368.8934039968813</v>
      </c>
      <c r="I13" s="109">
        <v>2425.7468456928063</v>
      </c>
      <c r="J13" s="110">
        <f t="shared" si="5"/>
        <v>78426.123893333453</v>
      </c>
      <c r="K13" s="109">
        <v>2543.5799244691798</v>
      </c>
      <c r="L13" s="109">
        <v>2604.62584265644</v>
      </c>
      <c r="M13" s="109">
        <v>2667.1368628801947</v>
      </c>
      <c r="N13" s="110">
        <f t="shared" si="5"/>
        <v>112241.76425679609</v>
      </c>
      <c r="O13" s="109">
        <v>2796.6957031314628</v>
      </c>
      <c r="P13" s="109">
        <v>2863.8164000066181</v>
      </c>
      <c r="Q13" s="109">
        <v>2932.5479936067768</v>
      </c>
      <c r="R13" s="110">
        <f t="shared" si="3"/>
        <v>8593.0600967448572</v>
      </c>
      <c r="S13" s="110">
        <f>SUM(R13,N13,J13,F13)</f>
        <v>254092.88924687437</v>
      </c>
    </row>
    <row r="14" spans="2:19" x14ac:dyDescent="0.25">
      <c r="B14" s="111" t="s">
        <v>199</v>
      </c>
      <c r="C14" s="112">
        <v>980</v>
      </c>
      <c r="D14" s="112">
        <v>1003.52</v>
      </c>
      <c r="E14" s="112">
        <v>1027.60448</v>
      </c>
      <c r="F14" s="113">
        <f t="shared" si="5"/>
        <v>89148.312000000005</v>
      </c>
      <c r="G14" s="112">
        <v>1077.5213952204799</v>
      </c>
      <c r="H14" s="112">
        <v>1103.3819087057714</v>
      </c>
      <c r="I14" s="112">
        <v>1129.86307451471</v>
      </c>
      <c r="J14" s="113">
        <f t="shared" si="5"/>
        <v>127379.66428743498</v>
      </c>
      <c r="K14" s="112">
        <v>1184.7473032223365</v>
      </c>
      <c r="L14" s="112">
        <v>1213.1812384996726</v>
      </c>
      <c r="M14" s="112">
        <v>1242.2975882236649</v>
      </c>
      <c r="N14" s="113">
        <f t="shared" si="5"/>
        <v>182112.12663419446</v>
      </c>
      <c r="O14" s="112">
        <v>1302.6434358692177</v>
      </c>
      <c r="P14" s="112">
        <v>1333.9068783300788</v>
      </c>
      <c r="Q14" s="112">
        <v>1365.9206434100008</v>
      </c>
      <c r="R14" s="113">
        <f t="shared" si="3"/>
        <v>4002.4709576092973</v>
      </c>
      <c r="S14" s="113">
        <f t="shared" ref="S14:S15" si="6">SUM(R14,N14,J14,F14)</f>
        <v>402642.5738792388</v>
      </c>
    </row>
    <row r="15" spans="2:19" x14ac:dyDescent="0.25">
      <c r="B15" s="114" t="s">
        <v>200</v>
      </c>
      <c r="C15" s="109">
        <f>SUM(C12:C14)</f>
        <v>4210</v>
      </c>
      <c r="D15" s="109">
        <f t="shared" ref="D15:I15" si="7">SUM(D12:D14)</f>
        <v>4311.0400000000009</v>
      </c>
      <c r="E15" s="109">
        <f t="shared" si="7"/>
        <v>4414.5049600000002</v>
      </c>
      <c r="F15" s="110">
        <f t="shared" si="7"/>
        <v>178296.62400000001</v>
      </c>
      <c r="G15" s="109">
        <f t="shared" si="7"/>
        <v>4628.9439529369602</v>
      </c>
      <c r="H15" s="109">
        <f t="shared" si="7"/>
        <v>4740.038607807448</v>
      </c>
      <c r="I15" s="109">
        <f t="shared" si="7"/>
        <v>4853.799534394826</v>
      </c>
      <c r="J15" s="110">
        <f t="shared" si="5"/>
        <v>254759.32857486996</v>
      </c>
      <c r="K15" s="109">
        <f t="shared" si="5"/>
        <v>5089.577700577589</v>
      </c>
      <c r="L15" s="109">
        <f t="shared" si="5"/>
        <v>5211.7275653914512</v>
      </c>
      <c r="M15" s="109">
        <f t="shared" si="5"/>
        <v>5336.8090269608465</v>
      </c>
      <c r="N15" s="110">
        <f t="shared" si="5"/>
        <v>364224.25326838891</v>
      </c>
      <c r="O15" s="109">
        <f t="shared" si="5"/>
        <v>5596.0498622544956</v>
      </c>
      <c r="P15" s="109">
        <f t="shared" si="5"/>
        <v>5730.355058948604</v>
      </c>
      <c r="Q15" s="109">
        <f t="shared" si="5"/>
        <v>5867.8835803633701</v>
      </c>
      <c r="R15" s="110">
        <f t="shared" si="5"/>
        <v>17194.288501566469</v>
      </c>
      <c r="S15" s="110">
        <f t="shared" si="6"/>
        <v>814474.49434482539</v>
      </c>
    </row>
    <row r="16" spans="2:19" x14ac:dyDescent="0.25">
      <c r="C16" s="109"/>
      <c r="D16" s="109"/>
      <c r="E16" s="109"/>
      <c r="F16" s="110"/>
      <c r="G16" s="109"/>
      <c r="H16" s="109"/>
      <c r="I16" s="109"/>
      <c r="J16" s="110"/>
      <c r="K16" s="109"/>
      <c r="L16" s="109"/>
      <c r="M16" s="109"/>
      <c r="N16" s="110"/>
      <c r="O16" s="109"/>
      <c r="P16" s="109"/>
      <c r="Q16" s="109"/>
      <c r="R16" s="110"/>
      <c r="S16" s="106"/>
    </row>
    <row r="17" spans="2:19" x14ac:dyDescent="0.25">
      <c r="B17" s="105" t="s">
        <v>201</v>
      </c>
      <c r="C17" s="109">
        <v>1500</v>
      </c>
      <c r="D17" s="109">
        <v>1536</v>
      </c>
      <c r="E17" s="109">
        <v>1572.864</v>
      </c>
      <c r="F17" s="110">
        <f t="shared" si="5"/>
        <v>267444.93599999999</v>
      </c>
      <c r="G17" s="109">
        <v>1649.267441664</v>
      </c>
      <c r="H17" s="109">
        <v>1688.8498602639361</v>
      </c>
      <c r="I17" s="109">
        <v>1729.3822569102706</v>
      </c>
      <c r="J17" s="110">
        <f t="shared" si="5"/>
        <v>382138.99286230491</v>
      </c>
      <c r="K17" s="109">
        <v>1813.3887294219439</v>
      </c>
      <c r="L17" s="109">
        <v>1856.9100589280706</v>
      </c>
      <c r="M17" s="109">
        <v>1901.4759003423444</v>
      </c>
      <c r="N17" s="110">
        <f t="shared" si="5"/>
        <v>546336.37990258331</v>
      </c>
      <c r="O17" s="109">
        <v>1993.8419936773741</v>
      </c>
      <c r="P17" s="109">
        <v>2041.6942015256311</v>
      </c>
      <c r="Q17" s="109">
        <v>2090.6948623622461</v>
      </c>
      <c r="R17" s="110">
        <f t="shared" si="3"/>
        <v>6126.2310575652518</v>
      </c>
      <c r="S17" s="110">
        <f>SUM(R17,N17,J17,F17)</f>
        <v>1202046.5398224534</v>
      </c>
    </row>
    <row r="18" spans="2:19" x14ac:dyDescent="0.25">
      <c r="B18" s="105" t="s">
        <v>202</v>
      </c>
      <c r="C18" s="109">
        <v>2000</v>
      </c>
      <c r="D18" s="109">
        <v>2048</v>
      </c>
      <c r="E18" s="109">
        <v>2097.152</v>
      </c>
      <c r="F18" s="110">
        <f t="shared" si="5"/>
        <v>445741.56</v>
      </c>
      <c r="G18" s="109">
        <v>2199.0232555520001</v>
      </c>
      <c r="H18" s="109">
        <v>2251.7998136852484</v>
      </c>
      <c r="I18" s="109">
        <v>2305.8430092136946</v>
      </c>
      <c r="J18" s="110">
        <f t="shared" si="5"/>
        <v>636898.32143717492</v>
      </c>
      <c r="K18" s="109">
        <v>2417.851639229259</v>
      </c>
      <c r="L18" s="109">
        <v>2475.8800785707613</v>
      </c>
      <c r="M18" s="109">
        <v>2535.3012004564598</v>
      </c>
      <c r="N18" s="110">
        <f t="shared" si="5"/>
        <v>910560.63317097223</v>
      </c>
      <c r="O18" s="109">
        <v>2658.4559915698328</v>
      </c>
      <c r="P18" s="109">
        <v>2722.2589353675089</v>
      </c>
      <c r="Q18" s="109">
        <v>2787.5931498163291</v>
      </c>
      <c r="R18" s="110">
        <f t="shared" si="3"/>
        <v>8168.3080767536712</v>
      </c>
      <c r="S18" s="110">
        <f t="shared" ref="S18:S19" si="8">SUM(R18,N18,J18,F18)</f>
        <v>2001368.8226849008</v>
      </c>
    </row>
    <row r="19" spans="2:19" x14ac:dyDescent="0.25">
      <c r="B19" s="111" t="s">
        <v>203</v>
      </c>
      <c r="C19" s="112">
        <v>3100</v>
      </c>
      <c r="D19" s="112">
        <v>3174.4</v>
      </c>
      <c r="E19" s="112">
        <v>3250.5856000000003</v>
      </c>
      <c r="F19" s="113">
        <f t="shared" si="5"/>
        <v>713186.49600000004</v>
      </c>
      <c r="G19" s="112">
        <v>3408.4860461056005</v>
      </c>
      <c r="H19" s="112">
        <v>3490.289711212135</v>
      </c>
      <c r="I19" s="112">
        <v>3574.0566642812264</v>
      </c>
      <c r="J19" s="113">
        <f t="shared" si="5"/>
        <v>1019037.3142994798</v>
      </c>
      <c r="K19" s="112">
        <v>3747.6700408053516</v>
      </c>
      <c r="L19" s="112">
        <v>3837.6141217846803</v>
      </c>
      <c r="M19" s="112">
        <v>3929.7168607075128</v>
      </c>
      <c r="N19" s="113">
        <f t="shared" si="5"/>
        <v>1456897.0130735557</v>
      </c>
      <c r="O19" s="112">
        <v>4120.606786933241</v>
      </c>
      <c r="P19" s="112">
        <v>4219.5013498196386</v>
      </c>
      <c r="Q19" s="112">
        <v>4320.7693822153096</v>
      </c>
      <c r="R19" s="113">
        <f t="shared" si="3"/>
        <v>12660.877518968187</v>
      </c>
      <c r="S19" s="110">
        <f t="shared" si="8"/>
        <v>3201781.7008920042</v>
      </c>
    </row>
    <row r="20" spans="2:19" x14ac:dyDescent="0.25">
      <c r="B20" s="115" t="s">
        <v>204</v>
      </c>
      <c r="C20" s="116">
        <f>SUM(C17:C19)</f>
        <v>6600</v>
      </c>
      <c r="D20" s="116">
        <f t="shared" ref="D20:R20" si="9">SUM(D17:D19)</f>
        <v>6758.4</v>
      </c>
      <c r="E20" s="116">
        <f t="shared" si="9"/>
        <v>6920.6016</v>
      </c>
      <c r="F20" s="117">
        <f t="shared" si="9"/>
        <v>1426372.9920000001</v>
      </c>
      <c r="G20" s="116">
        <f t="shared" si="9"/>
        <v>7256.7767433216004</v>
      </c>
      <c r="H20" s="116">
        <f t="shared" si="9"/>
        <v>7430.9393851613195</v>
      </c>
      <c r="I20" s="116">
        <f t="shared" si="9"/>
        <v>7609.2819304051918</v>
      </c>
      <c r="J20" s="117">
        <f t="shared" si="9"/>
        <v>2038074.6285989597</v>
      </c>
      <c r="K20" s="116">
        <f t="shared" si="9"/>
        <v>7978.9104094565537</v>
      </c>
      <c r="L20" s="116">
        <f t="shared" si="9"/>
        <v>8170.4042592835121</v>
      </c>
      <c r="M20" s="116">
        <f t="shared" si="9"/>
        <v>8366.4939615063158</v>
      </c>
      <c r="N20" s="117">
        <f t="shared" si="9"/>
        <v>2913794.0261471113</v>
      </c>
      <c r="O20" s="116">
        <f t="shared" si="9"/>
        <v>8772.9047721804491</v>
      </c>
      <c r="P20" s="116">
        <f t="shared" si="9"/>
        <v>8983.4544867127788</v>
      </c>
      <c r="Q20" s="116">
        <f t="shared" si="9"/>
        <v>9199.0573943938834</v>
      </c>
      <c r="R20" s="117">
        <f t="shared" si="9"/>
        <v>26955.41665328711</v>
      </c>
      <c r="S20" s="117">
        <f>SUM(R20,N20,J20,F20)</f>
        <v>6405197.0633993577</v>
      </c>
    </row>
    <row r="21" spans="2:19" x14ac:dyDescent="0.25">
      <c r="B21" s="114" t="s">
        <v>195</v>
      </c>
      <c r="C21" s="109">
        <f>SUM(C10,C15,C20)</f>
        <v>17040</v>
      </c>
      <c r="D21" s="109">
        <f t="shared" ref="D21:R21" si="10">SUM(D10,D15,D20)</f>
        <v>17889.240000000002</v>
      </c>
      <c r="E21" s="109">
        <f t="shared" si="10"/>
        <v>18800.876560000004</v>
      </c>
      <c r="F21" s="110">
        <f t="shared" si="10"/>
        <v>1625185.1860000002</v>
      </c>
      <c r="G21" s="109">
        <f t="shared" si="10"/>
        <v>20833.994939258562</v>
      </c>
      <c r="H21" s="109">
        <f t="shared" si="10"/>
        <v>21968.16290113677</v>
      </c>
      <c r="I21" s="109">
        <f t="shared" si="10"/>
        <v>23190.205812863922</v>
      </c>
      <c r="J21" s="110">
        <f t="shared" si="10"/>
        <v>2322306.5406730613</v>
      </c>
      <c r="K21" s="109">
        <f t="shared" si="10"/>
        <v>25930.470801898497</v>
      </c>
      <c r="L21" s="109">
        <f t="shared" si="10"/>
        <v>27466.936284661082</v>
      </c>
      <c r="M21" s="109">
        <f t="shared" si="10"/>
        <v>29127.91771601441</v>
      </c>
      <c r="N21" s="110">
        <f t="shared" si="10"/>
        <v>3320389.681294898</v>
      </c>
      <c r="O21" s="109">
        <f t="shared" si="10"/>
        <v>32870.31846270839</v>
      </c>
      <c r="P21" s="109">
        <f t="shared" si="10"/>
        <v>34978.032779761845</v>
      </c>
      <c r="Q21" s="109">
        <f t="shared" si="10"/>
        <v>37263.077351543652</v>
      </c>
      <c r="R21" s="110">
        <f t="shared" si="10"/>
        <v>105111.42859401388</v>
      </c>
      <c r="S21" s="110">
        <f>SUM(R21,N21,J21,F21)</f>
        <v>7372992.8365619741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J18"/>
  <sheetViews>
    <sheetView workbookViewId="0">
      <selection activeCell="B2" sqref="B2"/>
    </sheetView>
  </sheetViews>
  <sheetFormatPr defaultRowHeight="13.8" x14ac:dyDescent="0.25"/>
  <cols>
    <col min="2" max="2" width="10.5" customWidth="1"/>
  </cols>
  <sheetData>
    <row r="2" spans="2:10" x14ac:dyDescent="0.25">
      <c r="B2" s="36"/>
    </row>
    <row r="3" spans="2:10" x14ac:dyDescent="0.25">
      <c r="B3" s="36" t="s">
        <v>175</v>
      </c>
    </row>
    <row r="5" spans="2:10" ht="14.4" thickBot="1" x14ac:dyDescent="0.3">
      <c r="H5" s="106" t="s">
        <v>213</v>
      </c>
      <c r="I5" s="105"/>
      <c r="J5" s="105"/>
    </row>
    <row r="6" spans="2:10" ht="14.4" thickBot="1" x14ac:dyDescent="0.3">
      <c r="B6" s="76"/>
      <c r="C6" s="101" t="s">
        <v>176</v>
      </c>
      <c r="D6" s="101" t="s">
        <v>177</v>
      </c>
      <c r="E6" s="101" t="s">
        <v>178</v>
      </c>
      <c r="F6" s="101" t="s">
        <v>179</v>
      </c>
      <c r="H6" s="118"/>
      <c r="I6" s="105"/>
      <c r="J6" s="106" t="s">
        <v>214</v>
      </c>
    </row>
    <row r="7" spans="2:10" x14ac:dyDescent="0.25">
      <c r="B7" s="101" t="s">
        <v>180</v>
      </c>
      <c r="C7" s="76">
        <v>55</v>
      </c>
      <c r="D7" s="76">
        <v>68</v>
      </c>
      <c r="E7" s="76">
        <v>100</v>
      </c>
      <c r="F7" s="76">
        <v>68</v>
      </c>
      <c r="H7" s="105"/>
      <c r="I7" s="105"/>
      <c r="J7" s="119">
        <v>10</v>
      </c>
    </row>
    <row r="8" spans="2:10" x14ac:dyDescent="0.25">
      <c r="B8" s="101" t="s">
        <v>181</v>
      </c>
      <c r="C8" s="76">
        <v>68</v>
      </c>
      <c r="D8" s="76">
        <v>72</v>
      </c>
      <c r="E8" s="76">
        <v>88</v>
      </c>
      <c r="F8" s="76">
        <v>33</v>
      </c>
      <c r="H8" s="105"/>
      <c r="I8" s="105"/>
      <c r="J8" s="119">
        <v>20</v>
      </c>
    </row>
    <row r="9" spans="2:10" x14ac:dyDescent="0.25">
      <c r="B9" s="101" t="s">
        <v>182</v>
      </c>
      <c r="C9" s="76">
        <v>108</v>
      </c>
      <c r="D9" s="76">
        <v>91</v>
      </c>
      <c r="E9" s="76">
        <v>43</v>
      </c>
      <c r="F9" s="76">
        <v>96</v>
      </c>
      <c r="H9" s="105"/>
      <c r="I9" s="105"/>
      <c r="J9" s="119">
        <v>30</v>
      </c>
    </row>
    <row r="10" spans="2:10" x14ac:dyDescent="0.25">
      <c r="B10" s="101" t="s">
        <v>183</v>
      </c>
      <c r="C10" s="76">
        <v>96</v>
      </c>
      <c r="D10" s="76">
        <v>88</v>
      </c>
      <c r="E10" s="76">
        <v>25</v>
      </c>
      <c r="F10" s="76">
        <v>401</v>
      </c>
      <c r="H10" s="105"/>
      <c r="I10" s="105"/>
      <c r="J10" s="119">
        <v>40</v>
      </c>
    </row>
    <row r="11" spans="2:10" x14ac:dyDescent="0.25">
      <c r="B11" s="101" t="s">
        <v>184</v>
      </c>
      <c r="C11" s="76">
        <v>40</v>
      </c>
      <c r="D11" s="76">
        <v>580</v>
      </c>
      <c r="E11" s="76">
        <v>38</v>
      </c>
      <c r="F11" s="76">
        <v>68</v>
      </c>
      <c r="H11" s="105"/>
      <c r="I11" s="105"/>
      <c r="J11" s="119">
        <v>50</v>
      </c>
    </row>
    <row r="12" spans="2:10" x14ac:dyDescent="0.25">
      <c r="B12" s="101" t="s">
        <v>185</v>
      </c>
      <c r="C12" s="76">
        <v>68</v>
      </c>
      <c r="D12" s="76">
        <v>33</v>
      </c>
      <c r="E12" s="76">
        <v>44</v>
      </c>
      <c r="F12" s="76">
        <v>12</v>
      </c>
      <c r="H12" s="105"/>
      <c r="I12" s="105"/>
      <c r="J12" s="119">
        <v>60</v>
      </c>
    </row>
    <row r="13" spans="2:10" x14ac:dyDescent="0.25">
      <c r="B13" s="101" t="s">
        <v>186</v>
      </c>
      <c r="C13" s="76">
        <v>72</v>
      </c>
      <c r="D13" s="76">
        <v>96</v>
      </c>
      <c r="E13" s="76">
        <v>86</v>
      </c>
      <c r="F13" s="76">
        <v>800</v>
      </c>
      <c r="H13" s="105"/>
      <c r="I13" s="105"/>
      <c r="J13" s="119">
        <v>70</v>
      </c>
    </row>
    <row r="14" spans="2:10" x14ac:dyDescent="0.25">
      <c r="B14" s="101" t="s">
        <v>187</v>
      </c>
      <c r="C14" s="76">
        <v>91</v>
      </c>
      <c r="D14" s="76">
        <v>400</v>
      </c>
      <c r="E14" s="76">
        <v>35</v>
      </c>
      <c r="F14" s="76">
        <v>68</v>
      </c>
      <c r="H14" s="105"/>
      <c r="I14" s="105"/>
      <c r="J14" s="119">
        <v>80</v>
      </c>
    </row>
    <row r="15" spans="2:10" x14ac:dyDescent="0.25">
      <c r="B15" s="101" t="s">
        <v>188</v>
      </c>
      <c r="C15" s="76">
        <v>88</v>
      </c>
      <c r="D15" s="76">
        <v>68</v>
      </c>
      <c r="E15" s="76">
        <v>68</v>
      </c>
      <c r="F15" s="76">
        <v>33</v>
      </c>
      <c r="H15" s="105"/>
      <c r="I15" s="105"/>
      <c r="J15" s="119">
        <v>90</v>
      </c>
    </row>
    <row r="16" spans="2:10" x14ac:dyDescent="0.25">
      <c r="B16" s="101" t="s">
        <v>189</v>
      </c>
      <c r="C16" s="76">
        <v>43</v>
      </c>
      <c r="D16" s="76">
        <v>91</v>
      </c>
      <c r="E16" s="76">
        <v>701</v>
      </c>
      <c r="F16" s="76">
        <v>96</v>
      </c>
      <c r="H16" s="105"/>
      <c r="I16" s="105"/>
      <c r="J16" s="119">
        <v>100</v>
      </c>
    </row>
    <row r="17" spans="2:6" x14ac:dyDescent="0.25">
      <c r="B17" s="101" t="s">
        <v>190</v>
      </c>
      <c r="C17" s="76">
        <v>10</v>
      </c>
      <c r="D17" s="76">
        <v>88</v>
      </c>
      <c r="E17" s="76">
        <v>91</v>
      </c>
      <c r="F17" s="76">
        <v>90</v>
      </c>
    </row>
    <row r="18" spans="2:6" x14ac:dyDescent="0.25">
      <c r="B18" s="101" t="s">
        <v>191</v>
      </c>
      <c r="C18" s="76">
        <v>0</v>
      </c>
      <c r="D18" s="76">
        <v>43</v>
      </c>
      <c r="E18" s="76">
        <v>88</v>
      </c>
      <c r="F18" s="76">
        <v>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M224"/>
  <sheetViews>
    <sheetView showGridLines="0" workbookViewId="0">
      <selection activeCell="B2" sqref="B2"/>
    </sheetView>
  </sheetViews>
  <sheetFormatPr defaultColWidth="8" defaultRowHeight="13.2" x14ac:dyDescent="0.25"/>
  <cols>
    <col min="1" max="1" width="6.69921875" style="28" customWidth="1"/>
    <col min="2" max="2" width="8" style="28" customWidth="1"/>
    <col min="3" max="3" width="7" style="28" bestFit="1" customWidth="1"/>
    <col min="4" max="4" width="5.09765625" style="28" bestFit="1" customWidth="1"/>
    <col min="5" max="5" width="9.09765625" style="28" bestFit="1" customWidth="1"/>
    <col min="6" max="6" width="9.5" style="28" bestFit="1" customWidth="1"/>
    <col min="7" max="7" width="9.59765625" style="28" bestFit="1" customWidth="1"/>
    <col min="8" max="8" width="10.19921875" style="28" bestFit="1" customWidth="1"/>
    <col min="9" max="10" width="10.296875" style="28" customWidth="1"/>
    <col min="11" max="11" width="10.796875" style="28" customWidth="1"/>
    <col min="12" max="13" width="11.796875" style="28" customWidth="1"/>
    <col min="14" max="16384" width="8" style="28"/>
  </cols>
  <sheetData>
    <row r="2" spans="2:7" ht="13.8" x14ac:dyDescent="0.25">
      <c r="B2" s="36"/>
    </row>
    <row r="3" spans="2:7" ht="13.8" x14ac:dyDescent="0.25">
      <c r="B3" s="36" t="s">
        <v>173</v>
      </c>
    </row>
    <row r="6" spans="2:7" ht="15.6" x14ac:dyDescent="0.3">
      <c r="C6" s="59" t="s">
        <v>131</v>
      </c>
    </row>
    <row r="8" spans="2:7" ht="13.8" thickBot="1" x14ac:dyDescent="0.3">
      <c r="C8" s="60" t="s">
        <v>90</v>
      </c>
      <c r="D8" s="60" t="s">
        <v>91</v>
      </c>
      <c r="E8" s="60" t="s">
        <v>92</v>
      </c>
      <c r="F8" s="60" t="s">
        <v>93</v>
      </c>
      <c r="G8" s="60" t="s">
        <v>94</v>
      </c>
    </row>
    <row r="9" spans="2:7" x14ac:dyDescent="0.25">
      <c r="C9" s="28" t="s">
        <v>95</v>
      </c>
      <c r="D9" s="28">
        <v>2004</v>
      </c>
      <c r="E9" s="28" t="s">
        <v>96</v>
      </c>
      <c r="F9" s="28" t="s">
        <v>97</v>
      </c>
      <c r="G9" s="29">
        <v>554536</v>
      </c>
    </row>
    <row r="10" spans="2:7" x14ac:dyDescent="0.25">
      <c r="C10" s="28" t="s">
        <v>95</v>
      </c>
      <c r="D10" s="28">
        <v>2004</v>
      </c>
      <c r="E10" s="28" t="s">
        <v>98</v>
      </c>
      <c r="F10" s="28" t="s">
        <v>97</v>
      </c>
      <c r="G10" s="29">
        <v>540643</v>
      </c>
    </row>
    <row r="11" spans="2:7" x14ac:dyDescent="0.25">
      <c r="C11" s="28" t="s">
        <v>95</v>
      </c>
      <c r="D11" s="28">
        <v>2004</v>
      </c>
      <c r="E11" s="28" t="s">
        <v>99</v>
      </c>
      <c r="F11" s="28" t="s">
        <v>97</v>
      </c>
      <c r="G11" s="29">
        <v>577548</v>
      </c>
    </row>
    <row r="12" spans="2:7" x14ac:dyDescent="0.25">
      <c r="C12" s="28" t="s">
        <v>95</v>
      </c>
      <c r="D12" s="28">
        <v>2004</v>
      </c>
      <c r="E12" s="28" t="s">
        <v>100</v>
      </c>
      <c r="F12" s="28" t="s">
        <v>97</v>
      </c>
      <c r="G12" s="29">
        <v>455905</v>
      </c>
    </row>
    <row r="13" spans="2:7" x14ac:dyDescent="0.25">
      <c r="C13" s="28" t="s">
        <v>95</v>
      </c>
      <c r="D13" s="28">
        <v>2004</v>
      </c>
      <c r="E13" s="28" t="s">
        <v>101</v>
      </c>
      <c r="F13" s="28" t="s">
        <v>97</v>
      </c>
      <c r="G13" s="29">
        <v>490871</v>
      </c>
    </row>
    <row r="14" spans="2:7" x14ac:dyDescent="0.25">
      <c r="C14" s="28" t="s">
        <v>95</v>
      </c>
      <c r="D14" s="28">
        <v>2004</v>
      </c>
      <c r="E14" s="28" t="s">
        <v>102</v>
      </c>
      <c r="F14" s="28" t="s">
        <v>97</v>
      </c>
      <c r="G14" s="29">
        <v>446383</v>
      </c>
    </row>
    <row r="15" spans="2:7" x14ac:dyDescent="0.25">
      <c r="C15" s="28" t="s">
        <v>95</v>
      </c>
      <c r="D15" s="28">
        <v>2004</v>
      </c>
      <c r="E15" s="28" t="s">
        <v>96</v>
      </c>
      <c r="F15" s="28" t="s">
        <v>103</v>
      </c>
      <c r="G15" s="30">
        <v>457726</v>
      </c>
    </row>
    <row r="16" spans="2:7" x14ac:dyDescent="0.25">
      <c r="C16" s="28" t="s">
        <v>95</v>
      </c>
      <c r="D16" s="28">
        <v>2004</v>
      </c>
      <c r="E16" s="28" t="s">
        <v>98</v>
      </c>
      <c r="F16" s="28" t="s">
        <v>103</v>
      </c>
      <c r="G16" s="30">
        <v>347696</v>
      </c>
    </row>
    <row r="17" spans="3:7" x14ac:dyDescent="0.25">
      <c r="C17" s="28" t="s">
        <v>95</v>
      </c>
      <c r="D17" s="28">
        <v>2004</v>
      </c>
      <c r="E17" s="28" t="s">
        <v>99</v>
      </c>
      <c r="F17" s="28" t="s">
        <v>103</v>
      </c>
      <c r="G17" s="30">
        <v>384541</v>
      </c>
    </row>
    <row r="18" spans="3:7" x14ac:dyDescent="0.25">
      <c r="C18" s="28" t="s">
        <v>95</v>
      </c>
      <c r="D18" s="28">
        <v>2004</v>
      </c>
      <c r="E18" s="28" t="s">
        <v>100</v>
      </c>
      <c r="F18" s="28" t="s">
        <v>103</v>
      </c>
      <c r="G18" s="30">
        <v>386420</v>
      </c>
    </row>
    <row r="19" spans="3:7" x14ac:dyDescent="0.25">
      <c r="C19" s="28" t="s">
        <v>95</v>
      </c>
      <c r="D19" s="28">
        <v>2004</v>
      </c>
      <c r="E19" s="28" t="s">
        <v>101</v>
      </c>
      <c r="F19" s="28" t="s">
        <v>103</v>
      </c>
      <c r="G19" s="30">
        <v>370970</v>
      </c>
    </row>
    <row r="20" spans="3:7" x14ac:dyDescent="0.25">
      <c r="C20" s="28" t="s">
        <v>95</v>
      </c>
      <c r="D20" s="28">
        <v>2004</v>
      </c>
      <c r="E20" s="28" t="s">
        <v>102</v>
      </c>
      <c r="F20" s="28" t="s">
        <v>103</v>
      </c>
      <c r="G20" s="30">
        <v>430754</v>
      </c>
    </row>
    <row r="21" spans="3:7" x14ac:dyDescent="0.25">
      <c r="C21" s="28" t="s">
        <v>95</v>
      </c>
      <c r="D21" s="28">
        <v>2004</v>
      </c>
      <c r="E21" s="28" t="s">
        <v>96</v>
      </c>
      <c r="F21" s="28" t="s">
        <v>104</v>
      </c>
      <c r="G21" s="29">
        <v>500847</v>
      </c>
    </row>
    <row r="22" spans="3:7" x14ac:dyDescent="0.25">
      <c r="C22" s="28" t="s">
        <v>95</v>
      </c>
      <c r="D22" s="28">
        <v>2004</v>
      </c>
      <c r="E22" s="28" t="s">
        <v>98</v>
      </c>
      <c r="F22" s="28" t="s">
        <v>104</v>
      </c>
      <c r="G22" s="29">
        <v>507070</v>
      </c>
    </row>
    <row r="23" spans="3:7" x14ac:dyDescent="0.25">
      <c r="C23" s="28" t="s">
        <v>95</v>
      </c>
      <c r="D23" s="28">
        <v>2004</v>
      </c>
      <c r="E23" s="28" t="s">
        <v>99</v>
      </c>
      <c r="F23" s="28" t="s">
        <v>104</v>
      </c>
      <c r="G23" s="29">
        <v>482346</v>
      </c>
    </row>
    <row r="24" spans="3:7" x14ac:dyDescent="0.25">
      <c r="C24" s="28" t="s">
        <v>95</v>
      </c>
      <c r="D24" s="28">
        <v>2004</v>
      </c>
      <c r="E24" s="28" t="s">
        <v>100</v>
      </c>
      <c r="F24" s="28" t="s">
        <v>104</v>
      </c>
      <c r="G24" s="29">
        <v>608713</v>
      </c>
    </row>
    <row r="25" spans="3:7" x14ac:dyDescent="0.25">
      <c r="C25" s="28" t="s">
        <v>95</v>
      </c>
      <c r="D25" s="28">
        <v>2004</v>
      </c>
      <c r="E25" s="28" t="s">
        <v>101</v>
      </c>
      <c r="F25" s="28" t="s">
        <v>104</v>
      </c>
      <c r="G25" s="29">
        <v>554127</v>
      </c>
    </row>
    <row r="26" spans="3:7" x14ac:dyDescent="0.25">
      <c r="C26" s="28" t="s">
        <v>95</v>
      </c>
      <c r="D26" s="28">
        <v>2004</v>
      </c>
      <c r="E26" s="28" t="s">
        <v>102</v>
      </c>
      <c r="F26" s="28" t="s">
        <v>104</v>
      </c>
      <c r="G26" s="29">
        <v>500649</v>
      </c>
    </row>
    <row r="27" spans="3:7" x14ac:dyDescent="0.25">
      <c r="C27" s="28" t="s">
        <v>105</v>
      </c>
      <c r="D27" s="28">
        <v>2004</v>
      </c>
      <c r="E27" s="28" t="s">
        <v>96</v>
      </c>
      <c r="F27" s="28" t="s">
        <v>97</v>
      </c>
      <c r="G27" s="29">
        <v>545780</v>
      </c>
    </row>
    <row r="28" spans="3:7" x14ac:dyDescent="0.25">
      <c r="C28" s="28" t="s">
        <v>105</v>
      </c>
      <c r="D28" s="28">
        <v>2004</v>
      </c>
      <c r="E28" s="28" t="s">
        <v>98</v>
      </c>
      <c r="F28" s="28" t="s">
        <v>97</v>
      </c>
      <c r="G28" s="29">
        <v>440644</v>
      </c>
    </row>
    <row r="29" spans="3:7" x14ac:dyDescent="0.25">
      <c r="C29" s="28" t="s">
        <v>105</v>
      </c>
      <c r="D29" s="28">
        <v>2004</v>
      </c>
      <c r="E29" s="28" t="s">
        <v>99</v>
      </c>
      <c r="F29" s="28" t="s">
        <v>97</v>
      </c>
      <c r="G29" s="29">
        <v>580359</v>
      </c>
    </row>
    <row r="30" spans="3:7" x14ac:dyDescent="0.25">
      <c r="C30" s="28" t="s">
        <v>105</v>
      </c>
      <c r="D30" s="28">
        <v>2004</v>
      </c>
      <c r="E30" s="28" t="s">
        <v>100</v>
      </c>
      <c r="F30" s="28" t="s">
        <v>97</v>
      </c>
      <c r="G30" s="29">
        <v>536225</v>
      </c>
    </row>
    <row r="31" spans="3:7" x14ac:dyDescent="0.25">
      <c r="C31" s="28" t="s">
        <v>105</v>
      </c>
      <c r="D31" s="28">
        <v>2004</v>
      </c>
      <c r="E31" s="28" t="s">
        <v>101</v>
      </c>
      <c r="F31" s="28" t="s">
        <v>97</v>
      </c>
      <c r="G31" s="29">
        <v>414908</v>
      </c>
    </row>
    <row r="32" spans="3:7" x14ac:dyDescent="0.25">
      <c r="C32" s="28" t="s">
        <v>105</v>
      </c>
      <c r="D32" s="28">
        <v>2004</v>
      </c>
      <c r="E32" s="28" t="s">
        <v>102</v>
      </c>
      <c r="F32" s="28" t="s">
        <v>97</v>
      </c>
      <c r="G32" s="29">
        <v>377997</v>
      </c>
    </row>
    <row r="33" spans="3:13" x14ac:dyDescent="0.25">
      <c r="C33" s="28" t="s">
        <v>105</v>
      </c>
      <c r="D33" s="28">
        <v>2004</v>
      </c>
      <c r="E33" s="28" t="s">
        <v>96</v>
      </c>
      <c r="F33" s="28" t="s">
        <v>103</v>
      </c>
      <c r="G33" s="30">
        <v>331289</v>
      </c>
    </row>
    <row r="34" spans="3:13" x14ac:dyDescent="0.25">
      <c r="C34" s="28" t="s">
        <v>105</v>
      </c>
      <c r="D34" s="28">
        <v>2004</v>
      </c>
      <c r="E34" s="28" t="s">
        <v>98</v>
      </c>
      <c r="F34" s="28" t="s">
        <v>103</v>
      </c>
      <c r="G34" s="30">
        <v>384572</v>
      </c>
    </row>
    <row r="35" spans="3:13" x14ac:dyDescent="0.25">
      <c r="C35" s="28" t="s">
        <v>105</v>
      </c>
      <c r="D35" s="28">
        <v>2004</v>
      </c>
      <c r="E35" s="28" t="s">
        <v>99</v>
      </c>
      <c r="F35" s="28" t="s">
        <v>103</v>
      </c>
      <c r="G35" s="30">
        <v>365813</v>
      </c>
    </row>
    <row r="36" spans="3:13" ht="13.8" x14ac:dyDescent="0.25">
      <c r="C36" s="28" t="s">
        <v>105</v>
      </c>
      <c r="D36" s="28">
        <v>2004</v>
      </c>
      <c r="E36" s="28" t="s">
        <v>100</v>
      </c>
      <c r="F36" s="28" t="s">
        <v>103</v>
      </c>
      <c r="G36" s="30">
        <v>396338</v>
      </c>
      <c r="I36"/>
      <c r="J36"/>
      <c r="K36"/>
      <c r="L36"/>
      <c r="M36"/>
    </row>
    <row r="37" spans="3:13" ht="13.8" x14ac:dyDescent="0.25">
      <c r="C37" s="28" t="s">
        <v>105</v>
      </c>
      <c r="D37" s="28">
        <v>2004</v>
      </c>
      <c r="E37" s="28" t="s">
        <v>101</v>
      </c>
      <c r="F37" s="28" t="s">
        <v>103</v>
      </c>
      <c r="G37" s="30">
        <v>453761</v>
      </c>
      <c r="I37"/>
      <c r="J37"/>
      <c r="K37"/>
      <c r="L37"/>
      <c r="M37"/>
    </row>
    <row r="38" spans="3:13" ht="13.8" x14ac:dyDescent="0.25">
      <c r="C38" s="28" t="s">
        <v>105</v>
      </c>
      <c r="D38" s="28">
        <v>2004</v>
      </c>
      <c r="E38" s="28" t="s">
        <v>102</v>
      </c>
      <c r="F38" s="28" t="s">
        <v>103</v>
      </c>
      <c r="G38" s="30">
        <v>356538</v>
      </c>
      <c r="I38"/>
      <c r="J38"/>
      <c r="K38"/>
      <c r="L38"/>
      <c r="M38"/>
    </row>
    <row r="39" spans="3:13" ht="13.8" x14ac:dyDescent="0.25">
      <c r="C39" s="28" t="s">
        <v>105</v>
      </c>
      <c r="D39" s="28">
        <v>2004</v>
      </c>
      <c r="E39" s="28" t="s">
        <v>96</v>
      </c>
      <c r="F39" s="28" t="s">
        <v>104</v>
      </c>
      <c r="G39" s="29">
        <v>606332</v>
      </c>
      <c r="I39"/>
      <c r="J39"/>
      <c r="K39"/>
      <c r="L39"/>
      <c r="M39"/>
    </row>
    <row r="40" spans="3:13" ht="13.8" x14ac:dyDescent="0.25">
      <c r="C40" s="28" t="s">
        <v>105</v>
      </c>
      <c r="D40" s="28">
        <v>2004</v>
      </c>
      <c r="E40" s="28" t="s">
        <v>98</v>
      </c>
      <c r="F40" s="28" t="s">
        <v>104</v>
      </c>
      <c r="G40" s="29">
        <v>535218</v>
      </c>
      <c r="I40"/>
      <c r="J40"/>
      <c r="K40"/>
      <c r="L40"/>
      <c r="M40"/>
    </row>
    <row r="41" spans="3:13" ht="13.8" x14ac:dyDescent="0.25">
      <c r="C41" s="28" t="s">
        <v>105</v>
      </c>
      <c r="D41" s="28">
        <v>2004</v>
      </c>
      <c r="E41" s="28" t="s">
        <v>99</v>
      </c>
      <c r="F41" s="28" t="s">
        <v>104</v>
      </c>
      <c r="G41" s="29">
        <v>493364</v>
      </c>
      <c r="I41"/>
      <c r="J41"/>
      <c r="K41"/>
      <c r="L41"/>
      <c r="M41"/>
    </row>
    <row r="42" spans="3:13" ht="13.8" x14ac:dyDescent="0.25">
      <c r="C42" s="28" t="s">
        <v>105</v>
      </c>
      <c r="D42" s="28">
        <v>2004</v>
      </c>
      <c r="E42" s="28" t="s">
        <v>100</v>
      </c>
      <c r="F42" s="28" t="s">
        <v>104</v>
      </c>
      <c r="G42" s="29">
        <v>559100</v>
      </c>
      <c r="I42"/>
      <c r="J42"/>
      <c r="K42"/>
      <c r="L42"/>
      <c r="M42"/>
    </row>
    <row r="43" spans="3:13" ht="13.8" x14ac:dyDescent="0.25">
      <c r="C43" s="28" t="s">
        <v>105</v>
      </c>
      <c r="D43" s="28">
        <v>2004</v>
      </c>
      <c r="E43" s="28" t="s">
        <v>101</v>
      </c>
      <c r="F43" s="28" t="s">
        <v>104</v>
      </c>
      <c r="G43" s="29">
        <v>520592</v>
      </c>
      <c r="I43"/>
      <c r="J43"/>
      <c r="K43"/>
      <c r="L43"/>
      <c r="M43"/>
    </row>
    <row r="44" spans="3:13" ht="13.8" x14ac:dyDescent="0.25">
      <c r="C44" s="28" t="s">
        <v>105</v>
      </c>
      <c r="D44" s="28">
        <v>2004</v>
      </c>
      <c r="E44" s="28" t="s">
        <v>102</v>
      </c>
      <c r="F44" s="28" t="s">
        <v>104</v>
      </c>
      <c r="G44" s="29">
        <v>476975</v>
      </c>
      <c r="I44"/>
      <c r="J44"/>
      <c r="K44"/>
      <c r="L44"/>
      <c r="M44"/>
    </row>
    <row r="45" spans="3:13" ht="13.8" x14ac:dyDescent="0.25">
      <c r="C45" s="28" t="s">
        <v>106</v>
      </c>
      <c r="D45" s="28">
        <v>2004</v>
      </c>
      <c r="E45" s="28" t="s">
        <v>96</v>
      </c>
      <c r="F45" s="28" t="s">
        <v>97</v>
      </c>
      <c r="G45" s="29">
        <v>545621</v>
      </c>
      <c r="I45"/>
      <c r="J45"/>
      <c r="K45"/>
      <c r="L45"/>
      <c r="M45"/>
    </row>
    <row r="46" spans="3:13" ht="13.8" x14ac:dyDescent="0.25">
      <c r="C46" s="28" t="s">
        <v>106</v>
      </c>
      <c r="D46" s="28">
        <v>2004</v>
      </c>
      <c r="E46" s="28" t="s">
        <v>98</v>
      </c>
      <c r="F46" s="28" t="s">
        <v>97</v>
      </c>
      <c r="G46" s="29">
        <v>489255</v>
      </c>
      <c r="I46"/>
      <c r="J46"/>
      <c r="K46"/>
      <c r="L46"/>
      <c r="M46"/>
    </row>
    <row r="47" spans="3:13" ht="13.8" x14ac:dyDescent="0.25">
      <c r="C47" s="28" t="s">
        <v>106</v>
      </c>
      <c r="D47" s="28">
        <v>2004</v>
      </c>
      <c r="E47" s="28" t="s">
        <v>99</v>
      </c>
      <c r="F47" s="28" t="s">
        <v>97</v>
      </c>
      <c r="G47" s="29">
        <v>523124</v>
      </c>
      <c r="I47"/>
      <c r="J47"/>
      <c r="K47"/>
      <c r="L47"/>
      <c r="M47"/>
    </row>
    <row r="48" spans="3:13" ht="13.8" x14ac:dyDescent="0.25">
      <c r="C48" s="28" t="s">
        <v>106</v>
      </c>
      <c r="D48" s="28">
        <v>2004</v>
      </c>
      <c r="E48" s="28" t="s">
        <v>100</v>
      </c>
      <c r="F48" s="28" t="s">
        <v>97</v>
      </c>
      <c r="G48" s="29">
        <v>612216</v>
      </c>
      <c r="L48"/>
      <c r="M48"/>
    </row>
    <row r="49" spans="3:13" ht="13.8" x14ac:dyDescent="0.25">
      <c r="C49" s="28" t="s">
        <v>106</v>
      </c>
      <c r="D49" s="28">
        <v>2004</v>
      </c>
      <c r="E49" s="28" t="s">
        <v>101</v>
      </c>
      <c r="F49" s="28" t="s">
        <v>97</v>
      </c>
      <c r="G49" s="29">
        <v>425562</v>
      </c>
      <c r="L49"/>
      <c r="M49"/>
    </row>
    <row r="50" spans="3:13" ht="13.8" x14ac:dyDescent="0.25">
      <c r="C50" s="28" t="s">
        <v>106</v>
      </c>
      <c r="D50" s="28">
        <v>2004</v>
      </c>
      <c r="E50" s="28" t="s">
        <v>102</v>
      </c>
      <c r="F50" s="28" t="s">
        <v>97</v>
      </c>
      <c r="G50" s="29">
        <v>485285</v>
      </c>
      <c r="I50"/>
      <c r="J50"/>
      <c r="K50"/>
      <c r="L50"/>
      <c r="M50"/>
    </row>
    <row r="51" spans="3:13" ht="13.8" x14ac:dyDescent="0.25">
      <c r="C51" s="28" t="s">
        <v>106</v>
      </c>
      <c r="D51" s="28">
        <v>2004</v>
      </c>
      <c r="E51" s="28" t="s">
        <v>96</v>
      </c>
      <c r="F51" s="28" t="s">
        <v>103</v>
      </c>
      <c r="G51" s="30">
        <v>467173</v>
      </c>
      <c r="I51"/>
      <c r="J51"/>
      <c r="K51"/>
      <c r="L51"/>
      <c r="M51"/>
    </row>
    <row r="52" spans="3:13" ht="13.8" x14ac:dyDescent="0.25">
      <c r="C52" s="28" t="s">
        <v>106</v>
      </c>
      <c r="D52" s="28">
        <v>2004</v>
      </c>
      <c r="E52" s="28" t="s">
        <v>98</v>
      </c>
      <c r="F52" s="28" t="s">
        <v>103</v>
      </c>
      <c r="G52" s="30">
        <v>447637</v>
      </c>
      <c r="I52"/>
      <c r="J52"/>
      <c r="K52"/>
      <c r="L52"/>
      <c r="M52"/>
    </row>
    <row r="53" spans="3:13" ht="13.8" x14ac:dyDescent="0.25">
      <c r="C53" s="28" t="s">
        <v>106</v>
      </c>
      <c r="D53" s="28">
        <v>2004</v>
      </c>
      <c r="E53" s="28" t="s">
        <v>99</v>
      </c>
      <c r="F53" s="28" t="s">
        <v>103</v>
      </c>
      <c r="G53" s="30">
        <v>407542</v>
      </c>
      <c r="I53"/>
      <c r="J53"/>
      <c r="K53"/>
      <c r="L53"/>
      <c r="M53"/>
    </row>
    <row r="54" spans="3:13" ht="13.8" x14ac:dyDescent="0.25">
      <c r="C54" s="28" t="s">
        <v>106</v>
      </c>
      <c r="D54" s="28">
        <v>2004</v>
      </c>
      <c r="E54" s="28" t="s">
        <v>100</v>
      </c>
      <c r="F54" s="28" t="s">
        <v>103</v>
      </c>
      <c r="G54" s="30">
        <v>449575</v>
      </c>
      <c r="I54"/>
      <c r="J54"/>
      <c r="K54"/>
      <c r="L54"/>
      <c r="M54"/>
    </row>
    <row r="55" spans="3:13" ht="13.8" x14ac:dyDescent="0.25">
      <c r="C55" s="28" t="s">
        <v>106</v>
      </c>
      <c r="D55" s="28">
        <v>2004</v>
      </c>
      <c r="E55" s="28" t="s">
        <v>101</v>
      </c>
      <c r="F55" s="28" t="s">
        <v>103</v>
      </c>
      <c r="G55" s="30">
        <v>403248</v>
      </c>
      <c r="I55"/>
      <c r="J55"/>
      <c r="K55"/>
      <c r="L55"/>
      <c r="M55"/>
    </row>
    <row r="56" spans="3:13" ht="13.8" x14ac:dyDescent="0.25">
      <c r="C56" s="28" t="s">
        <v>106</v>
      </c>
      <c r="D56" s="28">
        <v>2004</v>
      </c>
      <c r="E56" s="28" t="s">
        <v>102</v>
      </c>
      <c r="F56" s="28" t="s">
        <v>103</v>
      </c>
      <c r="G56" s="30">
        <v>449293</v>
      </c>
      <c r="I56"/>
      <c r="J56"/>
      <c r="K56"/>
      <c r="L56"/>
      <c r="M56"/>
    </row>
    <row r="57" spans="3:13" ht="13.8" x14ac:dyDescent="0.25">
      <c r="C57" s="28" t="s">
        <v>106</v>
      </c>
      <c r="D57" s="28">
        <v>2004</v>
      </c>
      <c r="E57" s="28" t="s">
        <v>96</v>
      </c>
      <c r="F57" s="28" t="s">
        <v>104</v>
      </c>
      <c r="G57" s="29">
        <v>493845</v>
      </c>
      <c r="I57"/>
      <c r="J57"/>
      <c r="K57"/>
      <c r="L57"/>
      <c r="M57"/>
    </row>
    <row r="58" spans="3:13" ht="13.8" x14ac:dyDescent="0.25">
      <c r="C58" s="28" t="s">
        <v>106</v>
      </c>
      <c r="D58" s="28">
        <v>2004</v>
      </c>
      <c r="E58" s="28" t="s">
        <v>98</v>
      </c>
      <c r="F58" s="28" t="s">
        <v>104</v>
      </c>
      <c r="G58" s="29">
        <v>523464</v>
      </c>
      <c r="I58"/>
      <c r="J58"/>
      <c r="K58"/>
      <c r="L58"/>
      <c r="M58"/>
    </row>
    <row r="59" spans="3:13" ht="13.8" x14ac:dyDescent="0.25">
      <c r="C59" s="28" t="s">
        <v>106</v>
      </c>
      <c r="D59" s="28">
        <v>2004</v>
      </c>
      <c r="E59" s="28" t="s">
        <v>99</v>
      </c>
      <c r="F59" s="28" t="s">
        <v>104</v>
      </c>
      <c r="G59" s="29">
        <v>575692</v>
      </c>
      <c r="I59"/>
      <c r="J59"/>
      <c r="K59"/>
      <c r="L59"/>
      <c r="M59"/>
    </row>
    <row r="60" spans="3:13" ht="13.8" x14ac:dyDescent="0.25">
      <c r="C60" s="28" t="s">
        <v>106</v>
      </c>
      <c r="D60" s="28">
        <v>2004</v>
      </c>
      <c r="E60" s="28" t="s">
        <v>100</v>
      </c>
      <c r="F60" s="28" t="s">
        <v>104</v>
      </c>
      <c r="G60" s="29">
        <v>568633</v>
      </c>
      <c r="I60"/>
      <c r="J60"/>
      <c r="K60"/>
      <c r="L60"/>
      <c r="M60"/>
    </row>
    <row r="61" spans="3:13" ht="13.8" x14ac:dyDescent="0.25">
      <c r="C61" s="28" t="s">
        <v>106</v>
      </c>
      <c r="D61" s="28">
        <v>2004</v>
      </c>
      <c r="E61" s="28" t="s">
        <v>101</v>
      </c>
      <c r="F61" s="28" t="s">
        <v>104</v>
      </c>
      <c r="G61" s="29">
        <v>608569</v>
      </c>
      <c r="I61"/>
      <c r="J61"/>
      <c r="K61"/>
      <c r="L61"/>
      <c r="M61"/>
    </row>
    <row r="62" spans="3:13" ht="13.8" x14ac:dyDescent="0.25">
      <c r="C62" s="28" t="s">
        <v>106</v>
      </c>
      <c r="D62" s="28">
        <v>2004</v>
      </c>
      <c r="E62" s="28" t="s">
        <v>102</v>
      </c>
      <c r="F62" s="28" t="s">
        <v>104</v>
      </c>
      <c r="G62" s="29">
        <v>487012</v>
      </c>
      <c r="I62"/>
      <c r="J62"/>
      <c r="K62"/>
      <c r="L62"/>
      <c r="M62"/>
    </row>
    <row r="63" spans="3:13" ht="13.8" x14ac:dyDescent="0.25">
      <c r="C63" s="28" t="s">
        <v>107</v>
      </c>
      <c r="D63" s="28">
        <v>2004</v>
      </c>
      <c r="E63" s="28" t="s">
        <v>96</v>
      </c>
      <c r="F63" s="28" t="s">
        <v>97</v>
      </c>
      <c r="G63" s="29">
        <v>519177</v>
      </c>
      <c r="I63"/>
      <c r="J63"/>
      <c r="K63"/>
      <c r="L63"/>
      <c r="M63"/>
    </row>
    <row r="64" spans="3:13" ht="13.8" x14ac:dyDescent="0.25">
      <c r="C64" s="28" t="s">
        <v>107</v>
      </c>
      <c r="D64" s="28">
        <v>2004</v>
      </c>
      <c r="E64" s="28" t="s">
        <v>98</v>
      </c>
      <c r="F64" s="28" t="s">
        <v>97</v>
      </c>
      <c r="G64" s="29">
        <v>488597</v>
      </c>
      <c r="I64"/>
      <c r="J64"/>
      <c r="K64"/>
      <c r="L64"/>
      <c r="M64"/>
    </row>
    <row r="65" spans="3:13" ht="13.8" x14ac:dyDescent="0.25">
      <c r="C65" s="28" t="s">
        <v>107</v>
      </c>
      <c r="D65" s="28">
        <v>2004</v>
      </c>
      <c r="E65" s="28" t="s">
        <v>99</v>
      </c>
      <c r="F65" s="28" t="s">
        <v>97</v>
      </c>
      <c r="G65" s="29">
        <v>456653</v>
      </c>
      <c r="I65"/>
      <c r="J65"/>
      <c r="K65"/>
      <c r="L65"/>
      <c r="M65"/>
    </row>
    <row r="66" spans="3:13" ht="13.8" x14ac:dyDescent="0.25">
      <c r="C66" s="28" t="s">
        <v>107</v>
      </c>
      <c r="D66" s="28">
        <v>2004</v>
      </c>
      <c r="E66" s="28" t="s">
        <v>100</v>
      </c>
      <c r="F66" s="28" t="s">
        <v>97</v>
      </c>
      <c r="G66" s="29">
        <v>528843</v>
      </c>
      <c r="I66"/>
      <c r="J66"/>
      <c r="K66"/>
      <c r="L66"/>
      <c r="M66"/>
    </row>
    <row r="67" spans="3:13" ht="13.8" x14ac:dyDescent="0.25">
      <c r="C67" s="28" t="s">
        <v>107</v>
      </c>
      <c r="D67" s="28">
        <v>2004</v>
      </c>
      <c r="E67" s="28" t="s">
        <v>101</v>
      </c>
      <c r="F67" s="28" t="s">
        <v>97</v>
      </c>
      <c r="G67" s="29">
        <v>420782</v>
      </c>
      <c r="I67"/>
      <c r="J67"/>
      <c r="K67"/>
      <c r="L67"/>
      <c r="M67"/>
    </row>
    <row r="68" spans="3:13" ht="13.8" x14ac:dyDescent="0.25">
      <c r="C68" s="28" t="s">
        <v>107</v>
      </c>
      <c r="D68" s="28">
        <v>2004</v>
      </c>
      <c r="E68" s="28" t="s">
        <v>102</v>
      </c>
      <c r="F68" s="28" t="s">
        <v>97</v>
      </c>
      <c r="G68" s="29">
        <v>439751</v>
      </c>
      <c r="I68"/>
      <c r="J68"/>
      <c r="K68"/>
      <c r="L68"/>
      <c r="M68"/>
    </row>
    <row r="69" spans="3:13" ht="13.8" x14ac:dyDescent="0.25">
      <c r="C69" s="28" t="s">
        <v>107</v>
      </c>
      <c r="D69" s="28">
        <v>2004</v>
      </c>
      <c r="E69" s="28" t="s">
        <v>96</v>
      </c>
      <c r="F69" s="28" t="s">
        <v>103</v>
      </c>
      <c r="G69" s="30">
        <v>348503</v>
      </c>
      <c r="I69"/>
      <c r="J69"/>
      <c r="K69"/>
      <c r="L69"/>
      <c r="M69"/>
    </row>
    <row r="70" spans="3:13" ht="13.8" x14ac:dyDescent="0.25">
      <c r="C70" s="28" t="s">
        <v>107</v>
      </c>
      <c r="D70" s="28">
        <v>2004</v>
      </c>
      <c r="E70" s="28" t="s">
        <v>98</v>
      </c>
      <c r="F70" s="28" t="s">
        <v>103</v>
      </c>
      <c r="G70" s="30">
        <v>352086</v>
      </c>
      <c r="I70"/>
      <c r="J70"/>
      <c r="K70"/>
      <c r="L70"/>
      <c r="M70"/>
    </row>
    <row r="71" spans="3:13" ht="13.8" x14ac:dyDescent="0.25">
      <c r="C71" s="28" t="s">
        <v>107</v>
      </c>
      <c r="D71" s="28">
        <v>2004</v>
      </c>
      <c r="E71" s="28" t="s">
        <v>99</v>
      </c>
      <c r="F71" s="28" t="s">
        <v>103</v>
      </c>
      <c r="G71" s="30">
        <v>336824</v>
      </c>
      <c r="I71"/>
      <c r="J71"/>
      <c r="K71"/>
      <c r="L71"/>
      <c r="M71"/>
    </row>
    <row r="72" spans="3:13" x14ac:dyDescent="0.25">
      <c r="C72" s="28" t="s">
        <v>107</v>
      </c>
      <c r="D72" s="28">
        <v>2004</v>
      </c>
      <c r="E72" s="28" t="s">
        <v>100</v>
      </c>
      <c r="F72" s="28" t="s">
        <v>103</v>
      </c>
      <c r="G72" s="30">
        <v>350924</v>
      </c>
    </row>
    <row r="73" spans="3:13" x14ac:dyDescent="0.25">
      <c r="C73" s="28" t="s">
        <v>107</v>
      </c>
      <c r="D73" s="28">
        <v>2004</v>
      </c>
      <c r="E73" s="28" t="s">
        <v>101</v>
      </c>
      <c r="F73" s="28" t="s">
        <v>103</v>
      </c>
      <c r="G73" s="30">
        <v>338334</v>
      </c>
    </row>
    <row r="74" spans="3:13" x14ac:dyDescent="0.25">
      <c r="C74" s="28" t="s">
        <v>107</v>
      </c>
      <c r="D74" s="28">
        <v>2004</v>
      </c>
      <c r="E74" s="28" t="s">
        <v>102</v>
      </c>
      <c r="F74" s="28" t="s">
        <v>103</v>
      </c>
      <c r="G74" s="30">
        <v>383738</v>
      </c>
    </row>
    <row r="75" spans="3:13" x14ac:dyDescent="0.25">
      <c r="C75" s="28" t="s">
        <v>107</v>
      </c>
      <c r="D75" s="28">
        <v>2004</v>
      </c>
      <c r="E75" s="28" t="s">
        <v>96</v>
      </c>
      <c r="F75" s="28" t="s">
        <v>104</v>
      </c>
      <c r="G75" s="29">
        <v>508939</v>
      </c>
    </row>
    <row r="76" spans="3:13" x14ac:dyDescent="0.25">
      <c r="C76" s="28" t="s">
        <v>107</v>
      </c>
      <c r="D76" s="28">
        <v>2004</v>
      </c>
      <c r="E76" s="28" t="s">
        <v>98</v>
      </c>
      <c r="F76" s="28" t="s">
        <v>104</v>
      </c>
      <c r="G76" s="29">
        <v>393294</v>
      </c>
    </row>
    <row r="77" spans="3:13" x14ac:dyDescent="0.25">
      <c r="C77" s="28" t="s">
        <v>107</v>
      </c>
      <c r="D77" s="28">
        <v>2004</v>
      </c>
      <c r="E77" s="28" t="s">
        <v>99</v>
      </c>
      <c r="F77" s="28" t="s">
        <v>104</v>
      </c>
      <c r="G77" s="29">
        <v>430380</v>
      </c>
    </row>
    <row r="78" spans="3:13" x14ac:dyDescent="0.25">
      <c r="C78" s="28" t="s">
        <v>107</v>
      </c>
      <c r="D78" s="28">
        <v>2004</v>
      </c>
      <c r="E78" s="28" t="s">
        <v>100</v>
      </c>
      <c r="F78" s="28" t="s">
        <v>104</v>
      </c>
      <c r="G78" s="29">
        <v>390741</v>
      </c>
    </row>
    <row r="79" spans="3:13" x14ac:dyDescent="0.25">
      <c r="C79" s="28" t="s">
        <v>107</v>
      </c>
      <c r="D79" s="28">
        <v>2004</v>
      </c>
      <c r="E79" s="28" t="s">
        <v>101</v>
      </c>
      <c r="F79" s="28" t="s">
        <v>104</v>
      </c>
      <c r="G79" s="29">
        <v>500437</v>
      </c>
    </row>
    <row r="80" spans="3:13" x14ac:dyDescent="0.25">
      <c r="C80" s="28" t="s">
        <v>107</v>
      </c>
      <c r="D80" s="28">
        <v>2004</v>
      </c>
      <c r="E80" s="28" t="s">
        <v>102</v>
      </c>
      <c r="F80" s="28" t="s">
        <v>104</v>
      </c>
      <c r="G80" s="29">
        <v>522282</v>
      </c>
    </row>
    <row r="81" spans="3:8" x14ac:dyDescent="0.25">
      <c r="C81" s="28" t="s">
        <v>95</v>
      </c>
      <c r="D81" s="28">
        <v>2005</v>
      </c>
      <c r="E81" s="28" t="s">
        <v>96</v>
      </c>
      <c r="F81" s="28" t="s">
        <v>97</v>
      </c>
      <c r="G81" s="31">
        <v>514649</v>
      </c>
      <c r="H81" s="31"/>
    </row>
    <row r="82" spans="3:8" x14ac:dyDescent="0.25">
      <c r="C82" s="28" t="s">
        <v>95</v>
      </c>
      <c r="D82" s="28">
        <v>2005</v>
      </c>
      <c r="E82" s="28" t="s">
        <v>98</v>
      </c>
      <c r="F82" s="28" t="s">
        <v>97</v>
      </c>
      <c r="G82" s="31">
        <v>498673</v>
      </c>
      <c r="H82" s="31"/>
    </row>
    <row r="83" spans="3:8" x14ac:dyDescent="0.25">
      <c r="C83" s="28" t="s">
        <v>95</v>
      </c>
      <c r="D83" s="28">
        <v>2005</v>
      </c>
      <c r="E83" s="28" t="s">
        <v>99</v>
      </c>
      <c r="F83" s="28" t="s">
        <v>97</v>
      </c>
      <c r="G83" s="31">
        <v>541930</v>
      </c>
      <c r="H83" s="31"/>
    </row>
    <row r="84" spans="3:8" x14ac:dyDescent="0.25">
      <c r="C84" s="28" t="s">
        <v>95</v>
      </c>
      <c r="D84" s="28">
        <v>2005</v>
      </c>
      <c r="E84" s="28" t="s">
        <v>100</v>
      </c>
      <c r="F84" s="28" t="s">
        <v>97</v>
      </c>
      <c r="G84" s="31">
        <v>541022</v>
      </c>
      <c r="H84" s="31"/>
    </row>
    <row r="85" spans="3:8" x14ac:dyDescent="0.25">
      <c r="C85" s="28" t="s">
        <v>95</v>
      </c>
      <c r="D85" s="28">
        <v>2005</v>
      </c>
      <c r="E85" s="28" t="s">
        <v>101</v>
      </c>
      <c r="F85" s="28" t="s">
        <v>97</v>
      </c>
      <c r="G85" s="31">
        <v>487516</v>
      </c>
      <c r="H85" s="31"/>
    </row>
    <row r="86" spans="3:8" x14ac:dyDescent="0.25">
      <c r="C86" s="28" t="s">
        <v>95</v>
      </c>
      <c r="D86" s="28">
        <v>2005</v>
      </c>
      <c r="E86" s="28" t="s">
        <v>102</v>
      </c>
      <c r="F86" s="28" t="s">
        <v>97</v>
      </c>
      <c r="G86" s="31">
        <v>558787</v>
      </c>
      <c r="H86" s="31"/>
    </row>
    <row r="87" spans="3:8" x14ac:dyDescent="0.25">
      <c r="C87" s="28" t="s">
        <v>95</v>
      </c>
      <c r="D87" s="28">
        <v>2005</v>
      </c>
      <c r="E87" s="28" t="s">
        <v>96</v>
      </c>
      <c r="F87" s="28" t="s">
        <v>103</v>
      </c>
      <c r="G87" s="31">
        <v>393690</v>
      </c>
      <c r="H87" s="31"/>
    </row>
    <row r="88" spans="3:8" x14ac:dyDescent="0.25">
      <c r="C88" s="28" t="s">
        <v>95</v>
      </c>
      <c r="D88" s="28">
        <v>2005</v>
      </c>
      <c r="E88" s="28" t="s">
        <v>98</v>
      </c>
      <c r="F88" s="28" t="s">
        <v>103</v>
      </c>
      <c r="G88" s="31">
        <v>427784</v>
      </c>
      <c r="H88" s="31"/>
    </row>
    <row r="89" spans="3:8" x14ac:dyDescent="0.25">
      <c r="C89" s="28" t="s">
        <v>95</v>
      </c>
      <c r="D89" s="28">
        <v>2005</v>
      </c>
      <c r="E89" s="28" t="s">
        <v>99</v>
      </c>
      <c r="F89" s="28" t="s">
        <v>103</v>
      </c>
      <c r="G89" s="31">
        <v>386772</v>
      </c>
      <c r="H89" s="31"/>
    </row>
    <row r="90" spans="3:8" x14ac:dyDescent="0.25">
      <c r="C90" s="28" t="s">
        <v>95</v>
      </c>
      <c r="D90" s="28">
        <v>2005</v>
      </c>
      <c r="E90" s="28" t="s">
        <v>100</v>
      </c>
      <c r="F90" s="28" t="s">
        <v>103</v>
      </c>
      <c r="G90" s="31">
        <v>430461</v>
      </c>
      <c r="H90" s="31"/>
    </row>
    <row r="91" spans="3:8" x14ac:dyDescent="0.25">
      <c r="C91" s="28" t="s">
        <v>95</v>
      </c>
      <c r="D91" s="28">
        <v>2005</v>
      </c>
      <c r="E91" s="28" t="s">
        <v>101</v>
      </c>
      <c r="F91" s="28" t="s">
        <v>103</v>
      </c>
      <c r="G91" s="31">
        <v>481311</v>
      </c>
      <c r="H91" s="31"/>
    </row>
    <row r="92" spans="3:8" x14ac:dyDescent="0.25">
      <c r="C92" s="28" t="s">
        <v>95</v>
      </c>
      <c r="D92" s="28">
        <v>2005</v>
      </c>
      <c r="E92" s="28" t="s">
        <v>102</v>
      </c>
      <c r="F92" s="28" t="s">
        <v>103</v>
      </c>
      <c r="G92" s="31">
        <v>529637</v>
      </c>
      <c r="H92" s="31"/>
    </row>
    <row r="93" spans="3:8" x14ac:dyDescent="0.25">
      <c r="C93" s="28" t="s">
        <v>95</v>
      </c>
      <c r="D93" s="28">
        <v>2005</v>
      </c>
      <c r="E93" s="28" t="s">
        <v>96</v>
      </c>
      <c r="F93" s="28" t="s">
        <v>104</v>
      </c>
      <c r="G93" s="31">
        <v>596707</v>
      </c>
      <c r="H93" s="31"/>
    </row>
    <row r="94" spans="3:8" x14ac:dyDescent="0.25">
      <c r="C94" s="28" t="s">
        <v>95</v>
      </c>
      <c r="D94" s="28">
        <v>2005</v>
      </c>
      <c r="E94" s="28" t="s">
        <v>98</v>
      </c>
      <c r="F94" s="28" t="s">
        <v>104</v>
      </c>
      <c r="G94" s="31">
        <v>541275</v>
      </c>
      <c r="H94" s="31"/>
    </row>
    <row r="95" spans="3:8" x14ac:dyDescent="0.25">
      <c r="C95" s="28" t="s">
        <v>95</v>
      </c>
      <c r="D95" s="28">
        <v>2005</v>
      </c>
      <c r="E95" s="28" t="s">
        <v>99</v>
      </c>
      <c r="F95" s="28" t="s">
        <v>104</v>
      </c>
      <c r="G95" s="31">
        <v>574091</v>
      </c>
      <c r="H95" s="31"/>
    </row>
    <row r="96" spans="3:8" x14ac:dyDescent="0.25">
      <c r="C96" s="28" t="s">
        <v>95</v>
      </c>
      <c r="D96" s="28">
        <v>2005</v>
      </c>
      <c r="E96" s="28" t="s">
        <v>100</v>
      </c>
      <c r="F96" s="28" t="s">
        <v>104</v>
      </c>
      <c r="G96" s="31">
        <v>567246</v>
      </c>
      <c r="H96" s="31"/>
    </row>
    <row r="97" spans="3:8" x14ac:dyDescent="0.25">
      <c r="C97" s="28" t="s">
        <v>95</v>
      </c>
      <c r="D97" s="28">
        <v>2005</v>
      </c>
      <c r="E97" s="28" t="s">
        <v>101</v>
      </c>
      <c r="F97" s="28" t="s">
        <v>104</v>
      </c>
      <c r="G97" s="31">
        <v>530193</v>
      </c>
      <c r="H97" s="31"/>
    </row>
    <row r="98" spans="3:8" x14ac:dyDescent="0.25">
      <c r="C98" s="28" t="s">
        <v>95</v>
      </c>
      <c r="D98" s="28">
        <v>2005</v>
      </c>
      <c r="E98" s="28" t="s">
        <v>102</v>
      </c>
      <c r="F98" s="28" t="s">
        <v>104</v>
      </c>
      <c r="G98" s="31">
        <v>475884</v>
      </c>
      <c r="H98" s="31"/>
    </row>
    <row r="99" spans="3:8" x14ac:dyDescent="0.25">
      <c r="C99" s="28" t="s">
        <v>105</v>
      </c>
      <c r="D99" s="28">
        <v>2005</v>
      </c>
      <c r="E99" s="28" t="s">
        <v>96</v>
      </c>
      <c r="F99" s="28" t="s">
        <v>97</v>
      </c>
      <c r="G99" s="31">
        <v>533691</v>
      </c>
      <c r="H99" s="31"/>
    </row>
    <row r="100" spans="3:8" x14ac:dyDescent="0.25">
      <c r="C100" s="28" t="s">
        <v>105</v>
      </c>
      <c r="D100" s="28">
        <v>2005</v>
      </c>
      <c r="E100" s="28" t="s">
        <v>98</v>
      </c>
      <c r="F100" s="28" t="s">
        <v>97</v>
      </c>
      <c r="G100" s="31">
        <v>534352</v>
      </c>
      <c r="H100" s="31"/>
    </row>
    <row r="101" spans="3:8" x14ac:dyDescent="0.25">
      <c r="C101" s="28" t="s">
        <v>105</v>
      </c>
      <c r="D101" s="28">
        <v>2005</v>
      </c>
      <c r="E101" s="28" t="s">
        <v>99</v>
      </c>
      <c r="F101" s="28" t="s">
        <v>97</v>
      </c>
      <c r="G101" s="31">
        <v>588845</v>
      </c>
      <c r="H101" s="31"/>
    </row>
    <row r="102" spans="3:8" x14ac:dyDescent="0.25">
      <c r="C102" s="28" t="s">
        <v>105</v>
      </c>
      <c r="D102" s="28">
        <v>2005</v>
      </c>
      <c r="E102" s="28" t="s">
        <v>100</v>
      </c>
      <c r="F102" s="28" t="s">
        <v>97</v>
      </c>
      <c r="G102" s="31">
        <v>513750</v>
      </c>
      <c r="H102" s="31"/>
    </row>
    <row r="103" spans="3:8" x14ac:dyDescent="0.25">
      <c r="C103" s="28" t="s">
        <v>105</v>
      </c>
      <c r="D103" s="28">
        <v>2005</v>
      </c>
      <c r="E103" s="28" t="s">
        <v>101</v>
      </c>
      <c r="F103" s="28" t="s">
        <v>97</v>
      </c>
      <c r="G103" s="31">
        <v>516692</v>
      </c>
      <c r="H103" s="31"/>
    </row>
    <row r="104" spans="3:8" x14ac:dyDescent="0.25">
      <c r="C104" s="28" t="s">
        <v>105</v>
      </c>
      <c r="D104" s="28">
        <v>2005</v>
      </c>
      <c r="E104" s="28" t="s">
        <v>102</v>
      </c>
      <c r="F104" s="28" t="s">
        <v>97</v>
      </c>
      <c r="G104" s="31">
        <v>539883</v>
      </c>
      <c r="H104" s="31"/>
    </row>
    <row r="105" spans="3:8" x14ac:dyDescent="0.25">
      <c r="C105" s="28" t="s">
        <v>105</v>
      </c>
      <c r="D105" s="28">
        <v>2005</v>
      </c>
      <c r="E105" s="28" t="s">
        <v>96</v>
      </c>
      <c r="F105" s="28" t="s">
        <v>103</v>
      </c>
      <c r="G105" s="31">
        <v>418483</v>
      </c>
      <c r="H105" s="31"/>
    </row>
    <row r="106" spans="3:8" x14ac:dyDescent="0.25">
      <c r="C106" s="28" t="s">
        <v>105</v>
      </c>
      <c r="D106" s="28">
        <v>2005</v>
      </c>
      <c r="E106" s="28" t="s">
        <v>98</v>
      </c>
      <c r="F106" s="28" t="s">
        <v>103</v>
      </c>
      <c r="G106" s="31">
        <v>452955</v>
      </c>
      <c r="H106" s="31"/>
    </row>
    <row r="107" spans="3:8" x14ac:dyDescent="0.25">
      <c r="C107" s="28" t="s">
        <v>105</v>
      </c>
      <c r="D107" s="28">
        <v>2005</v>
      </c>
      <c r="E107" s="28" t="s">
        <v>99</v>
      </c>
      <c r="F107" s="28" t="s">
        <v>103</v>
      </c>
      <c r="G107" s="31">
        <v>432909</v>
      </c>
      <c r="H107" s="31"/>
    </row>
    <row r="108" spans="3:8" x14ac:dyDescent="0.25">
      <c r="C108" s="28" t="s">
        <v>105</v>
      </c>
      <c r="D108" s="28">
        <v>2005</v>
      </c>
      <c r="E108" s="28" t="s">
        <v>100</v>
      </c>
      <c r="F108" s="28" t="s">
        <v>103</v>
      </c>
      <c r="G108" s="31">
        <v>493853</v>
      </c>
      <c r="H108" s="31"/>
    </row>
    <row r="109" spans="3:8" x14ac:dyDescent="0.25">
      <c r="C109" s="28" t="s">
        <v>105</v>
      </c>
      <c r="D109" s="28">
        <v>2005</v>
      </c>
      <c r="E109" s="28" t="s">
        <v>101</v>
      </c>
      <c r="F109" s="28" t="s">
        <v>103</v>
      </c>
      <c r="G109" s="31">
        <v>393368</v>
      </c>
      <c r="H109" s="31"/>
    </row>
    <row r="110" spans="3:8" x14ac:dyDescent="0.25">
      <c r="C110" s="28" t="s">
        <v>105</v>
      </c>
      <c r="D110" s="28">
        <v>2005</v>
      </c>
      <c r="E110" s="28" t="s">
        <v>102</v>
      </c>
      <c r="F110" s="28" t="s">
        <v>103</v>
      </c>
      <c r="G110" s="31">
        <v>405946</v>
      </c>
      <c r="H110" s="31"/>
    </row>
    <row r="111" spans="3:8" x14ac:dyDescent="0.25">
      <c r="C111" s="28" t="s">
        <v>105</v>
      </c>
      <c r="D111" s="28">
        <v>2005</v>
      </c>
      <c r="E111" s="28" t="s">
        <v>96</v>
      </c>
      <c r="F111" s="28" t="s">
        <v>104</v>
      </c>
      <c r="G111" s="31">
        <v>561874</v>
      </c>
      <c r="H111" s="31"/>
    </row>
    <row r="112" spans="3:8" x14ac:dyDescent="0.25">
      <c r="C112" s="28" t="s">
        <v>105</v>
      </c>
      <c r="D112" s="28">
        <v>2005</v>
      </c>
      <c r="E112" s="28" t="s">
        <v>98</v>
      </c>
      <c r="F112" s="28" t="s">
        <v>104</v>
      </c>
      <c r="G112" s="31">
        <v>544747</v>
      </c>
      <c r="H112" s="31"/>
    </row>
    <row r="113" spans="3:8" x14ac:dyDescent="0.25">
      <c r="C113" s="28" t="s">
        <v>105</v>
      </c>
      <c r="D113" s="28">
        <v>2005</v>
      </c>
      <c r="E113" s="28" t="s">
        <v>99</v>
      </c>
      <c r="F113" s="28" t="s">
        <v>104</v>
      </c>
      <c r="G113" s="31">
        <v>470339</v>
      </c>
      <c r="H113" s="31"/>
    </row>
    <row r="114" spans="3:8" x14ac:dyDescent="0.25">
      <c r="C114" s="28" t="s">
        <v>105</v>
      </c>
      <c r="D114" s="28">
        <v>2005</v>
      </c>
      <c r="E114" s="28" t="s">
        <v>100</v>
      </c>
      <c r="F114" s="28" t="s">
        <v>104</v>
      </c>
      <c r="G114" s="31">
        <v>530410</v>
      </c>
      <c r="H114" s="31"/>
    </row>
    <row r="115" spans="3:8" x14ac:dyDescent="0.25">
      <c r="C115" s="28" t="s">
        <v>105</v>
      </c>
      <c r="D115" s="28">
        <v>2005</v>
      </c>
      <c r="E115" s="28" t="s">
        <v>101</v>
      </c>
      <c r="F115" s="28" t="s">
        <v>104</v>
      </c>
      <c r="G115" s="31">
        <v>455378</v>
      </c>
      <c r="H115" s="31"/>
    </row>
    <row r="116" spans="3:8" x14ac:dyDescent="0.25">
      <c r="C116" s="28" t="s">
        <v>105</v>
      </c>
      <c r="D116" s="28">
        <v>2005</v>
      </c>
      <c r="E116" s="28" t="s">
        <v>102</v>
      </c>
      <c r="F116" s="28" t="s">
        <v>104</v>
      </c>
      <c r="G116" s="31">
        <v>668180</v>
      </c>
      <c r="H116" s="31"/>
    </row>
    <row r="117" spans="3:8" x14ac:dyDescent="0.25">
      <c r="C117" s="28" t="s">
        <v>106</v>
      </c>
      <c r="D117" s="28">
        <v>2005</v>
      </c>
      <c r="E117" s="28" t="s">
        <v>96</v>
      </c>
      <c r="F117" s="28" t="s">
        <v>97</v>
      </c>
      <c r="G117" s="31">
        <v>597626</v>
      </c>
      <c r="H117" s="31"/>
    </row>
    <row r="118" spans="3:8" x14ac:dyDescent="0.25">
      <c r="C118" s="28" t="s">
        <v>106</v>
      </c>
      <c r="D118" s="28">
        <v>2005</v>
      </c>
      <c r="E118" s="28" t="s">
        <v>98</v>
      </c>
      <c r="F118" s="28" t="s">
        <v>97</v>
      </c>
      <c r="G118" s="31">
        <v>612909</v>
      </c>
      <c r="H118" s="31"/>
    </row>
    <row r="119" spans="3:8" x14ac:dyDescent="0.25">
      <c r="C119" s="28" t="s">
        <v>106</v>
      </c>
      <c r="D119" s="28">
        <v>2005</v>
      </c>
      <c r="E119" s="28" t="s">
        <v>99</v>
      </c>
      <c r="F119" s="28" t="s">
        <v>97</v>
      </c>
      <c r="G119" s="31">
        <v>585669</v>
      </c>
      <c r="H119" s="31"/>
    </row>
    <row r="120" spans="3:8" x14ac:dyDescent="0.25">
      <c r="C120" s="28" t="s">
        <v>106</v>
      </c>
      <c r="D120" s="28">
        <v>2005</v>
      </c>
      <c r="E120" s="28" t="s">
        <v>100</v>
      </c>
      <c r="F120" s="28" t="s">
        <v>97</v>
      </c>
      <c r="G120" s="31">
        <v>641282</v>
      </c>
      <c r="H120" s="31"/>
    </row>
    <row r="121" spans="3:8" x14ac:dyDescent="0.25">
      <c r="C121" s="28" t="s">
        <v>106</v>
      </c>
      <c r="D121" s="28">
        <v>2005</v>
      </c>
      <c r="E121" s="28" t="s">
        <v>101</v>
      </c>
      <c r="F121" s="28" t="s">
        <v>97</v>
      </c>
      <c r="G121" s="31">
        <v>447013</v>
      </c>
      <c r="H121" s="31"/>
    </row>
    <row r="122" spans="3:8" x14ac:dyDescent="0.25">
      <c r="C122" s="28" t="s">
        <v>106</v>
      </c>
      <c r="D122" s="28">
        <v>2005</v>
      </c>
      <c r="E122" s="28" t="s">
        <v>102</v>
      </c>
      <c r="F122" s="28" t="s">
        <v>97</v>
      </c>
      <c r="G122" s="31">
        <v>476238</v>
      </c>
      <c r="H122" s="31"/>
    </row>
    <row r="123" spans="3:8" x14ac:dyDescent="0.25">
      <c r="C123" s="28" t="s">
        <v>106</v>
      </c>
      <c r="D123" s="28">
        <v>2005</v>
      </c>
      <c r="E123" s="28" t="s">
        <v>96</v>
      </c>
      <c r="F123" s="28" t="s">
        <v>103</v>
      </c>
      <c r="G123" s="31">
        <v>421466</v>
      </c>
      <c r="H123" s="31"/>
    </row>
    <row r="124" spans="3:8" x14ac:dyDescent="0.25">
      <c r="C124" s="28" t="s">
        <v>106</v>
      </c>
      <c r="D124" s="28">
        <v>2005</v>
      </c>
      <c r="E124" s="28" t="s">
        <v>98</v>
      </c>
      <c r="F124" s="28" t="s">
        <v>103</v>
      </c>
      <c r="G124" s="31">
        <v>427983</v>
      </c>
      <c r="H124" s="31"/>
    </row>
    <row r="125" spans="3:8" x14ac:dyDescent="0.25">
      <c r="C125" s="28" t="s">
        <v>106</v>
      </c>
      <c r="D125" s="28">
        <v>2005</v>
      </c>
      <c r="E125" s="28" t="s">
        <v>99</v>
      </c>
      <c r="F125" s="28" t="s">
        <v>103</v>
      </c>
      <c r="G125" s="31">
        <v>429498</v>
      </c>
      <c r="H125" s="31"/>
    </row>
    <row r="126" spans="3:8" x14ac:dyDescent="0.25">
      <c r="C126" s="28" t="s">
        <v>106</v>
      </c>
      <c r="D126" s="28">
        <v>2005</v>
      </c>
      <c r="E126" s="28" t="s">
        <v>100</v>
      </c>
      <c r="F126" s="28" t="s">
        <v>103</v>
      </c>
      <c r="G126" s="31">
        <v>544597</v>
      </c>
      <c r="H126" s="31"/>
    </row>
    <row r="127" spans="3:8" x14ac:dyDescent="0.25">
      <c r="C127" s="28" t="s">
        <v>106</v>
      </c>
      <c r="D127" s="28">
        <v>2005</v>
      </c>
      <c r="E127" s="28" t="s">
        <v>101</v>
      </c>
      <c r="F127" s="28" t="s">
        <v>103</v>
      </c>
      <c r="G127" s="31">
        <v>446014</v>
      </c>
      <c r="H127" s="31"/>
    </row>
    <row r="128" spans="3:8" x14ac:dyDescent="0.25">
      <c r="C128" s="28" t="s">
        <v>106</v>
      </c>
      <c r="D128" s="28">
        <v>2005</v>
      </c>
      <c r="E128" s="28" t="s">
        <v>102</v>
      </c>
      <c r="F128" s="28" t="s">
        <v>103</v>
      </c>
      <c r="G128" s="31">
        <v>487611</v>
      </c>
      <c r="H128" s="31"/>
    </row>
    <row r="129" spans="3:8" x14ac:dyDescent="0.25">
      <c r="C129" s="28" t="s">
        <v>106</v>
      </c>
      <c r="D129" s="28">
        <v>2005</v>
      </c>
      <c r="E129" s="28" t="s">
        <v>96</v>
      </c>
      <c r="F129" s="28" t="s">
        <v>104</v>
      </c>
      <c r="G129" s="31">
        <v>565106</v>
      </c>
      <c r="H129" s="31"/>
    </row>
    <row r="130" spans="3:8" x14ac:dyDescent="0.25">
      <c r="C130" s="28" t="s">
        <v>106</v>
      </c>
      <c r="D130" s="28">
        <v>2005</v>
      </c>
      <c r="E130" s="28" t="s">
        <v>98</v>
      </c>
      <c r="F130" s="28" t="s">
        <v>104</v>
      </c>
      <c r="G130" s="31">
        <v>567487</v>
      </c>
      <c r="H130" s="31"/>
    </row>
    <row r="131" spans="3:8" x14ac:dyDescent="0.25">
      <c r="C131" s="28" t="s">
        <v>106</v>
      </c>
      <c r="D131" s="28">
        <v>2005</v>
      </c>
      <c r="E131" s="28" t="s">
        <v>99</v>
      </c>
      <c r="F131" s="28" t="s">
        <v>104</v>
      </c>
      <c r="G131" s="31">
        <v>538648</v>
      </c>
      <c r="H131" s="31"/>
    </row>
    <row r="132" spans="3:8" x14ac:dyDescent="0.25">
      <c r="C132" s="28" t="s">
        <v>106</v>
      </c>
      <c r="D132" s="28">
        <v>2005</v>
      </c>
      <c r="E132" s="28" t="s">
        <v>100</v>
      </c>
      <c r="F132" s="28" t="s">
        <v>104</v>
      </c>
      <c r="G132" s="31">
        <v>708608</v>
      </c>
      <c r="H132" s="31"/>
    </row>
    <row r="133" spans="3:8" x14ac:dyDescent="0.25">
      <c r="C133" s="28" t="s">
        <v>106</v>
      </c>
      <c r="D133" s="28">
        <v>2005</v>
      </c>
      <c r="E133" s="28" t="s">
        <v>101</v>
      </c>
      <c r="F133" s="28" t="s">
        <v>104</v>
      </c>
      <c r="G133" s="31">
        <v>634104</v>
      </c>
      <c r="H133" s="31"/>
    </row>
    <row r="134" spans="3:8" x14ac:dyDescent="0.25">
      <c r="C134" s="28" t="s">
        <v>106</v>
      </c>
      <c r="D134" s="28">
        <v>2005</v>
      </c>
      <c r="E134" s="28" t="s">
        <v>102</v>
      </c>
      <c r="F134" s="28" t="s">
        <v>104</v>
      </c>
      <c r="G134" s="31">
        <v>522179</v>
      </c>
      <c r="H134" s="31"/>
    </row>
    <row r="135" spans="3:8" x14ac:dyDescent="0.25">
      <c r="C135" s="28" t="s">
        <v>107</v>
      </c>
      <c r="D135" s="28">
        <v>2005</v>
      </c>
      <c r="E135" s="28" t="s">
        <v>96</v>
      </c>
      <c r="F135" s="28" t="s">
        <v>97</v>
      </c>
      <c r="G135" s="29">
        <v>511406</v>
      </c>
      <c r="H135" s="31"/>
    </row>
    <row r="136" spans="3:8" x14ac:dyDescent="0.25">
      <c r="C136" s="28" t="s">
        <v>107</v>
      </c>
      <c r="D136" s="28">
        <v>2005</v>
      </c>
      <c r="E136" s="28" t="s">
        <v>98</v>
      </c>
      <c r="F136" s="28" t="s">
        <v>97</v>
      </c>
      <c r="G136" s="29">
        <v>487020</v>
      </c>
      <c r="H136" s="31"/>
    </row>
    <row r="137" spans="3:8" x14ac:dyDescent="0.25">
      <c r="C137" s="28" t="s">
        <v>107</v>
      </c>
      <c r="D137" s="28">
        <v>2005</v>
      </c>
      <c r="E137" s="28" t="s">
        <v>99</v>
      </c>
      <c r="F137" s="28" t="s">
        <v>97</v>
      </c>
      <c r="G137" s="29">
        <v>563504</v>
      </c>
      <c r="H137" s="31"/>
    </row>
    <row r="138" spans="3:8" x14ac:dyDescent="0.25">
      <c r="C138" s="28" t="s">
        <v>107</v>
      </c>
      <c r="D138" s="28">
        <v>2005</v>
      </c>
      <c r="E138" s="28" t="s">
        <v>100</v>
      </c>
      <c r="F138" s="28" t="s">
        <v>97</v>
      </c>
      <c r="G138" s="29">
        <v>565428</v>
      </c>
      <c r="H138" s="31"/>
    </row>
    <row r="139" spans="3:8" x14ac:dyDescent="0.25">
      <c r="C139" s="28" t="s">
        <v>107</v>
      </c>
      <c r="D139" s="28">
        <v>2005</v>
      </c>
      <c r="E139" s="28" t="s">
        <v>101</v>
      </c>
      <c r="F139" s="28" t="s">
        <v>97</v>
      </c>
      <c r="G139" s="29">
        <v>380743</v>
      </c>
      <c r="H139" s="31"/>
    </row>
    <row r="140" spans="3:8" x14ac:dyDescent="0.25">
      <c r="C140" s="28" t="s">
        <v>107</v>
      </c>
      <c r="D140" s="28">
        <v>2005</v>
      </c>
      <c r="E140" s="28" t="s">
        <v>102</v>
      </c>
      <c r="F140" s="28" t="s">
        <v>97</v>
      </c>
      <c r="G140" s="29">
        <v>351971</v>
      </c>
      <c r="H140" s="31"/>
    </row>
    <row r="141" spans="3:8" x14ac:dyDescent="0.25">
      <c r="C141" s="28" t="s">
        <v>107</v>
      </c>
      <c r="D141" s="28">
        <v>2005</v>
      </c>
      <c r="E141" s="28" t="s">
        <v>96</v>
      </c>
      <c r="F141" s="28" t="s">
        <v>103</v>
      </c>
      <c r="G141" s="30">
        <v>388646</v>
      </c>
      <c r="H141" s="31"/>
    </row>
    <row r="142" spans="3:8" x14ac:dyDescent="0.25">
      <c r="C142" s="28" t="s">
        <v>107</v>
      </c>
      <c r="D142" s="28">
        <v>2005</v>
      </c>
      <c r="E142" s="28" t="s">
        <v>98</v>
      </c>
      <c r="F142" s="28" t="s">
        <v>103</v>
      </c>
      <c r="G142" s="30">
        <v>337401</v>
      </c>
      <c r="H142" s="31"/>
    </row>
    <row r="143" spans="3:8" x14ac:dyDescent="0.25">
      <c r="C143" s="28" t="s">
        <v>107</v>
      </c>
      <c r="D143" s="28">
        <v>2005</v>
      </c>
      <c r="E143" s="28" t="s">
        <v>99</v>
      </c>
      <c r="F143" s="28" t="s">
        <v>103</v>
      </c>
      <c r="G143" s="30">
        <v>441713</v>
      </c>
      <c r="H143" s="31"/>
    </row>
    <row r="144" spans="3:8" x14ac:dyDescent="0.25">
      <c r="C144" s="28" t="s">
        <v>107</v>
      </c>
      <c r="D144" s="28">
        <v>2005</v>
      </c>
      <c r="E144" s="28" t="s">
        <v>100</v>
      </c>
      <c r="F144" s="28" t="s">
        <v>103</v>
      </c>
      <c r="G144" s="30">
        <v>438764</v>
      </c>
      <c r="H144" s="31"/>
    </row>
    <row r="145" spans="3:8" x14ac:dyDescent="0.25">
      <c r="C145" s="28" t="s">
        <v>107</v>
      </c>
      <c r="D145" s="28">
        <v>2005</v>
      </c>
      <c r="E145" s="28" t="s">
        <v>101</v>
      </c>
      <c r="F145" s="28" t="s">
        <v>103</v>
      </c>
      <c r="G145" s="30">
        <v>378201</v>
      </c>
      <c r="H145" s="31"/>
    </row>
    <row r="146" spans="3:8" x14ac:dyDescent="0.25">
      <c r="C146" s="28" t="s">
        <v>107</v>
      </c>
      <c r="D146" s="28">
        <v>2005</v>
      </c>
      <c r="E146" s="28" t="s">
        <v>102</v>
      </c>
      <c r="F146" s="28" t="s">
        <v>103</v>
      </c>
      <c r="G146" s="30">
        <v>413519</v>
      </c>
      <c r="H146" s="31"/>
    </row>
    <row r="147" spans="3:8" x14ac:dyDescent="0.25">
      <c r="C147" s="28" t="s">
        <v>107</v>
      </c>
      <c r="D147" s="28">
        <v>2005</v>
      </c>
      <c r="E147" s="28" t="s">
        <v>96</v>
      </c>
      <c r="F147" s="28" t="s">
        <v>104</v>
      </c>
      <c r="G147" s="29">
        <v>516512</v>
      </c>
      <c r="H147" s="31"/>
    </row>
    <row r="148" spans="3:8" x14ac:dyDescent="0.25">
      <c r="C148" s="28" t="s">
        <v>107</v>
      </c>
      <c r="D148" s="28">
        <v>2005</v>
      </c>
      <c r="E148" s="28" t="s">
        <v>98</v>
      </c>
      <c r="F148" s="28" t="s">
        <v>104</v>
      </c>
      <c r="G148" s="29">
        <v>494282</v>
      </c>
      <c r="H148" s="31"/>
    </row>
    <row r="149" spans="3:8" x14ac:dyDescent="0.25">
      <c r="C149" s="28" t="s">
        <v>107</v>
      </c>
      <c r="D149" s="28">
        <v>2005</v>
      </c>
      <c r="E149" s="28" t="s">
        <v>99</v>
      </c>
      <c r="F149" s="28" t="s">
        <v>104</v>
      </c>
      <c r="G149" s="29">
        <v>538958</v>
      </c>
      <c r="H149" s="31"/>
    </row>
    <row r="150" spans="3:8" x14ac:dyDescent="0.25">
      <c r="C150" s="28" t="s">
        <v>107</v>
      </c>
      <c r="D150" s="28">
        <v>2005</v>
      </c>
      <c r="E150" s="28" t="s">
        <v>100</v>
      </c>
      <c r="F150" s="28" t="s">
        <v>104</v>
      </c>
      <c r="G150" s="29">
        <v>502214</v>
      </c>
      <c r="H150" s="31"/>
    </row>
    <row r="151" spans="3:8" x14ac:dyDescent="0.25">
      <c r="C151" s="28" t="s">
        <v>107</v>
      </c>
      <c r="D151" s="28">
        <v>2005</v>
      </c>
      <c r="E151" s="28" t="s">
        <v>101</v>
      </c>
      <c r="F151" s="28" t="s">
        <v>104</v>
      </c>
      <c r="G151" s="29">
        <v>539525</v>
      </c>
      <c r="H151" s="31"/>
    </row>
    <row r="152" spans="3:8" x14ac:dyDescent="0.25">
      <c r="C152" s="28" t="s">
        <v>107</v>
      </c>
      <c r="D152" s="28">
        <v>2005</v>
      </c>
      <c r="E152" s="28" t="s">
        <v>102</v>
      </c>
      <c r="F152" s="28" t="s">
        <v>104</v>
      </c>
      <c r="G152" s="29">
        <v>517806</v>
      </c>
      <c r="H152" s="31"/>
    </row>
    <row r="153" spans="3:8" x14ac:dyDescent="0.25">
      <c r="C153" s="28" t="s">
        <v>95</v>
      </c>
      <c r="D153" s="28">
        <v>2006</v>
      </c>
      <c r="E153" s="28" t="s">
        <v>96</v>
      </c>
      <c r="F153" s="28" t="s">
        <v>97</v>
      </c>
      <c r="G153" s="29">
        <v>625097</v>
      </c>
      <c r="H153" s="31"/>
    </row>
    <row r="154" spans="3:8" x14ac:dyDescent="0.25">
      <c r="C154" s="28" t="s">
        <v>95</v>
      </c>
      <c r="D154" s="28">
        <v>2006</v>
      </c>
      <c r="E154" s="28" t="s">
        <v>98</v>
      </c>
      <c r="F154" s="28" t="s">
        <v>97</v>
      </c>
      <c r="G154" s="29">
        <v>632542</v>
      </c>
      <c r="H154" s="31"/>
    </row>
    <row r="155" spans="3:8" x14ac:dyDescent="0.25">
      <c r="C155" s="28" t="s">
        <v>95</v>
      </c>
      <c r="D155" s="28">
        <v>2006</v>
      </c>
      <c r="E155" s="28" t="s">
        <v>99</v>
      </c>
      <c r="F155" s="28" t="s">
        <v>97</v>
      </c>
      <c r="G155" s="29">
        <v>565957</v>
      </c>
      <c r="H155" s="31"/>
    </row>
    <row r="156" spans="3:8" x14ac:dyDescent="0.25">
      <c r="C156" s="28" t="s">
        <v>95</v>
      </c>
      <c r="D156" s="28">
        <v>2006</v>
      </c>
      <c r="E156" s="28" t="s">
        <v>100</v>
      </c>
      <c r="F156" s="28" t="s">
        <v>97</v>
      </c>
      <c r="G156" s="29">
        <v>609354</v>
      </c>
      <c r="H156" s="31"/>
    </row>
    <row r="157" spans="3:8" x14ac:dyDescent="0.25">
      <c r="C157" s="28" t="s">
        <v>95</v>
      </c>
      <c r="D157" s="28">
        <v>2006</v>
      </c>
      <c r="E157" s="28" t="s">
        <v>101</v>
      </c>
      <c r="F157" s="28" t="s">
        <v>97</v>
      </c>
      <c r="G157" s="29">
        <v>501393</v>
      </c>
      <c r="H157" s="31"/>
    </row>
    <row r="158" spans="3:8" x14ac:dyDescent="0.25">
      <c r="C158" s="28" t="s">
        <v>95</v>
      </c>
      <c r="D158" s="28">
        <v>2006</v>
      </c>
      <c r="E158" s="28" t="s">
        <v>102</v>
      </c>
      <c r="F158" s="28" t="s">
        <v>97</v>
      </c>
      <c r="G158" s="29">
        <v>461281</v>
      </c>
      <c r="H158" s="31"/>
    </row>
    <row r="159" spans="3:8" x14ac:dyDescent="0.25">
      <c r="C159" s="28" t="s">
        <v>95</v>
      </c>
      <c r="D159" s="28">
        <v>2006</v>
      </c>
      <c r="E159" s="28" t="s">
        <v>96</v>
      </c>
      <c r="F159" s="28" t="s">
        <v>103</v>
      </c>
      <c r="G159" s="30">
        <v>476654</v>
      </c>
      <c r="H159" s="31"/>
    </row>
    <row r="160" spans="3:8" x14ac:dyDescent="0.25">
      <c r="C160" s="28" t="s">
        <v>95</v>
      </c>
      <c r="D160" s="28">
        <v>2006</v>
      </c>
      <c r="E160" s="28" t="s">
        <v>98</v>
      </c>
      <c r="F160" s="28" t="s">
        <v>103</v>
      </c>
      <c r="G160" s="30">
        <v>405717</v>
      </c>
      <c r="H160" s="31"/>
    </row>
    <row r="161" spans="3:8" x14ac:dyDescent="0.25">
      <c r="C161" s="28" t="s">
        <v>95</v>
      </c>
      <c r="D161" s="28">
        <v>2006</v>
      </c>
      <c r="E161" s="28" t="s">
        <v>99</v>
      </c>
      <c r="F161" s="28" t="s">
        <v>103</v>
      </c>
      <c r="G161" s="30">
        <v>407780</v>
      </c>
      <c r="H161" s="31"/>
    </row>
    <row r="162" spans="3:8" x14ac:dyDescent="0.25">
      <c r="C162" s="28" t="s">
        <v>95</v>
      </c>
      <c r="D162" s="28">
        <v>2006</v>
      </c>
      <c r="E162" s="28" t="s">
        <v>100</v>
      </c>
      <c r="F162" s="28" t="s">
        <v>103</v>
      </c>
      <c r="G162" s="30">
        <v>462903</v>
      </c>
      <c r="H162" s="31"/>
    </row>
    <row r="163" spans="3:8" x14ac:dyDescent="0.25">
      <c r="C163" s="28" t="s">
        <v>95</v>
      </c>
      <c r="D163" s="28">
        <v>2006</v>
      </c>
      <c r="E163" s="28" t="s">
        <v>101</v>
      </c>
      <c r="F163" s="28" t="s">
        <v>103</v>
      </c>
      <c r="G163" s="30">
        <v>460030</v>
      </c>
      <c r="H163" s="31"/>
    </row>
    <row r="164" spans="3:8" x14ac:dyDescent="0.25">
      <c r="C164" s="28" t="s">
        <v>95</v>
      </c>
      <c r="D164" s="28">
        <v>2006</v>
      </c>
      <c r="E164" s="28" t="s">
        <v>102</v>
      </c>
      <c r="F164" s="28" t="s">
        <v>103</v>
      </c>
      <c r="G164" s="30">
        <v>463982</v>
      </c>
      <c r="H164" s="31"/>
    </row>
    <row r="165" spans="3:8" x14ac:dyDescent="0.25">
      <c r="C165" s="28" t="s">
        <v>95</v>
      </c>
      <c r="D165" s="28">
        <v>2006</v>
      </c>
      <c r="E165" s="28" t="s">
        <v>96</v>
      </c>
      <c r="F165" s="28" t="s">
        <v>104</v>
      </c>
      <c r="G165" s="29">
        <v>622573</v>
      </c>
      <c r="H165" s="31"/>
    </row>
    <row r="166" spans="3:8" x14ac:dyDescent="0.25">
      <c r="C166" s="28" t="s">
        <v>95</v>
      </c>
      <c r="D166" s="28">
        <v>2006</v>
      </c>
      <c r="E166" s="28" t="s">
        <v>98</v>
      </c>
      <c r="F166" s="28" t="s">
        <v>104</v>
      </c>
      <c r="G166" s="29">
        <v>578387</v>
      </c>
      <c r="H166" s="31"/>
    </row>
    <row r="167" spans="3:8" x14ac:dyDescent="0.25">
      <c r="C167" s="28" t="s">
        <v>95</v>
      </c>
      <c r="D167" s="28">
        <v>2006</v>
      </c>
      <c r="E167" s="28" t="s">
        <v>99</v>
      </c>
      <c r="F167" s="28" t="s">
        <v>104</v>
      </c>
      <c r="G167" s="29">
        <v>579998</v>
      </c>
      <c r="H167" s="31"/>
    </row>
    <row r="168" spans="3:8" x14ac:dyDescent="0.25">
      <c r="C168" s="28" t="s">
        <v>95</v>
      </c>
      <c r="D168" s="28">
        <v>2006</v>
      </c>
      <c r="E168" s="28" t="s">
        <v>100</v>
      </c>
      <c r="F168" s="28" t="s">
        <v>104</v>
      </c>
      <c r="G168" s="29">
        <v>594253</v>
      </c>
      <c r="H168" s="31"/>
    </row>
    <row r="169" spans="3:8" x14ac:dyDescent="0.25">
      <c r="C169" s="28" t="s">
        <v>95</v>
      </c>
      <c r="D169" s="28">
        <v>2006</v>
      </c>
      <c r="E169" s="28" t="s">
        <v>101</v>
      </c>
      <c r="F169" s="28" t="s">
        <v>104</v>
      </c>
      <c r="G169" s="29">
        <v>473198</v>
      </c>
      <c r="H169" s="31"/>
    </row>
    <row r="170" spans="3:8" x14ac:dyDescent="0.25">
      <c r="C170" s="28" t="s">
        <v>95</v>
      </c>
      <c r="D170" s="28">
        <v>2006</v>
      </c>
      <c r="E170" s="28" t="s">
        <v>102</v>
      </c>
      <c r="F170" s="28" t="s">
        <v>104</v>
      </c>
      <c r="G170" s="29">
        <v>601406</v>
      </c>
      <c r="H170" s="31"/>
    </row>
    <row r="171" spans="3:8" x14ac:dyDescent="0.25">
      <c r="C171" s="28" t="s">
        <v>105</v>
      </c>
      <c r="D171" s="28">
        <v>2006</v>
      </c>
      <c r="E171" s="28" t="s">
        <v>96</v>
      </c>
      <c r="F171" s="28" t="s">
        <v>97</v>
      </c>
      <c r="G171" s="29">
        <v>616561</v>
      </c>
      <c r="H171" s="31"/>
    </row>
    <row r="172" spans="3:8" x14ac:dyDescent="0.25">
      <c r="C172" s="28" t="s">
        <v>105</v>
      </c>
      <c r="D172" s="28">
        <v>2006</v>
      </c>
      <c r="E172" s="28" t="s">
        <v>98</v>
      </c>
      <c r="F172" s="28" t="s">
        <v>97</v>
      </c>
      <c r="G172" s="29">
        <v>559403</v>
      </c>
      <c r="H172" s="31"/>
    </row>
    <row r="173" spans="3:8" x14ac:dyDescent="0.25">
      <c r="C173" s="28" t="s">
        <v>105</v>
      </c>
      <c r="D173" s="28">
        <v>2006</v>
      </c>
      <c r="E173" s="28" t="s">
        <v>99</v>
      </c>
      <c r="F173" s="28" t="s">
        <v>97</v>
      </c>
      <c r="G173" s="29">
        <v>597369</v>
      </c>
      <c r="H173" s="31"/>
    </row>
    <row r="174" spans="3:8" x14ac:dyDescent="0.25">
      <c r="C174" s="28" t="s">
        <v>105</v>
      </c>
      <c r="D174" s="28">
        <v>2006</v>
      </c>
      <c r="E174" s="28" t="s">
        <v>100</v>
      </c>
      <c r="F174" s="28" t="s">
        <v>97</v>
      </c>
      <c r="G174" s="29">
        <v>709122</v>
      </c>
      <c r="H174" s="31"/>
    </row>
    <row r="175" spans="3:8" x14ac:dyDescent="0.25">
      <c r="C175" s="28" t="s">
        <v>105</v>
      </c>
      <c r="D175" s="28">
        <v>2006</v>
      </c>
      <c r="E175" s="28" t="s">
        <v>101</v>
      </c>
      <c r="F175" s="28" t="s">
        <v>97</v>
      </c>
      <c r="G175" s="29">
        <v>462316</v>
      </c>
      <c r="H175" s="31"/>
    </row>
    <row r="176" spans="3:8" x14ac:dyDescent="0.25">
      <c r="C176" s="28" t="s">
        <v>105</v>
      </c>
      <c r="D176" s="28">
        <v>2006</v>
      </c>
      <c r="E176" s="28" t="s">
        <v>102</v>
      </c>
      <c r="F176" s="28" t="s">
        <v>97</v>
      </c>
      <c r="G176" s="29">
        <v>466554</v>
      </c>
      <c r="H176" s="31"/>
    </row>
    <row r="177" spans="3:8" x14ac:dyDescent="0.25">
      <c r="C177" s="28" t="s">
        <v>105</v>
      </c>
      <c r="D177" s="28">
        <v>2006</v>
      </c>
      <c r="E177" s="28" t="s">
        <v>96</v>
      </c>
      <c r="F177" s="28" t="s">
        <v>103</v>
      </c>
      <c r="G177" s="30">
        <v>380338</v>
      </c>
      <c r="H177" s="31"/>
    </row>
    <row r="178" spans="3:8" x14ac:dyDescent="0.25">
      <c r="C178" s="28" t="s">
        <v>105</v>
      </c>
      <c r="D178" s="28">
        <v>2006</v>
      </c>
      <c r="E178" s="28" t="s">
        <v>98</v>
      </c>
      <c r="F178" s="28" t="s">
        <v>103</v>
      </c>
      <c r="G178" s="30">
        <v>406420</v>
      </c>
      <c r="H178" s="31"/>
    </row>
    <row r="179" spans="3:8" x14ac:dyDescent="0.25">
      <c r="C179" s="28" t="s">
        <v>105</v>
      </c>
      <c r="D179" s="28">
        <v>2006</v>
      </c>
      <c r="E179" s="28" t="s">
        <v>99</v>
      </c>
      <c r="F179" s="28" t="s">
        <v>103</v>
      </c>
      <c r="G179" s="30">
        <v>422373</v>
      </c>
      <c r="H179" s="31"/>
    </row>
    <row r="180" spans="3:8" x14ac:dyDescent="0.25">
      <c r="C180" s="28" t="s">
        <v>105</v>
      </c>
      <c r="D180" s="28">
        <v>2006</v>
      </c>
      <c r="E180" s="28" t="s">
        <v>100</v>
      </c>
      <c r="F180" s="28" t="s">
        <v>103</v>
      </c>
      <c r="G180" s="30">
        <v>385923</v>
      </c>
      <c r="H180" s="31"/>
    </row>
    <row r="181" spans="3:8" x14ac:dyDescent="0.25">
      <c r="C181" s="28" t="s">
        <v>105</v>
      </c>
      <c r="D181" s="28">
        <v>2006</v>
      </c>
      <c r="E181" s="28" t="s">
        <v>101</v>
      </c>
      <c r="F181" s="28" t="s">
        <v>103</v>
      </c>
      <c r="G181" s="30">
        <v>474148</v>
      </c>
      <c r="H181" s="31"/>
    </row>
    <row r="182" spans="3:8" x14ac:dyDescent="0.25">
      <c r="C182" s="28" t="s">
        <v>105</v>
      </c>
      <c r="D182" s="28">
        <v>2006</v>
      </c>
      <c r="E182" s="28" t="s">
        <v>102</v>
      </c>
      <c r="F182" s="28" t="s">
        <v>103</v>
      </c>
      <c r="G182" s="30">
        <v>438409</v>
      </c>
      <c r="H182" s="31"/>
    </row>
    <row r="183" spans="3:8" x14ac:dyDescent="0.25">
      <c r="C183" s="28" t="s">
        <v>105</v>
      </c>
      <c r="D183" s="28">
        <v>2006</v>
      </c>
      <c r="E183" s="28" t="s">
        <v>96</v>
      </c>
      <c r="F183" s="28" t="s">
        <v>104</v>
      </c>
      <c r="G183" s="29">
        <v>554317</v>
      </c>
      <c r="H183" s="31"/>
    </row>
    <row r="184" spans="3:8" x14ac:dyDescent="0.25">
      <c r="C184" s="28" t="s">
        <v>105</v>
      </c>
      <c r="D184" s="28">
        <v>2006</v>
      </c>
      <c r="E184" s="28" t="s">
        <v>98</v>
      </c>
      <c r="F184" s="28" t="s">
        <v>104</v>
      </c>
      <c r="G184" s="29">
        <v>609069</v>
      </c>
      <c r="H184" s="31"/>
    </row>
    <row r="185" spans="3:8" x14ac:dyDescent="0.25">
      <c r="C185" s="28" t="s">
        <v>105</v>
      </c>
      <c r="D185" s="28">
        <v>2006</v>
      </c>
      <c r="E185" s="28" t="s">
        <v>99</v>
      </c>
      <c r="F185" s="28" t="s">
        <v>104</v>
      </c>
      <c r="G185" s="29">
        <v>563406</v>
      </c>
      <c r="H185" s="31"/>
    </row>
    <row r="186" spans="3:8" x14ac:dyDescent="0.25">
      <c r="C186" s="28" t="s">
        <v>105</v>
      </c>
      <c r="D186" s="28">
        <v>2006</v>
      </c>
      <c r="E186" s="28" t="s">
        <v>100</v>
      </c>
      <c r="F186" s="28" t="s">
        <v>104</v>
      </c>
      <c r="G186" s="29">
        <v>606490</v>
      </c>
      <c r="H186" s="31"/>
    </row>
    <row r="187" spans="3:8" x14ac:dyDescent="0.25">
      <c r="C187" s="28" t="s">
        <v>105</v>
      </c>
      <c r="D187" s="28">
        <v>2006</v>
      </c>
      <c r="E187" s="28" t="s">
        <v>101</v>
      </c>
      <c r="F187" s="28" t="s">
        <v>104</v>
      </c>
      <c r="G187" s="29">
        <v>564560</v>
      </c>
      <c r="H187" s="31"/>
    </row>
    <row r="188" spans="3:8" x14ac:dyDescent="0.25">
      <c r="C188" s="28" t="s">
        <v>105</v>
      </c>
      <c r="D188" s="28">
        <v>2006</v>
      </c>
      <c r="E188" s="28" t="s">
        <v>102</v>
      </c>
      <c r="F188" s="28" t="s">
        <v>104</v>
      </c>
      <c r="G188" s="29">
        <v>600194</v>
      </c>
      <c r="H188" s="31"/>
    </row>
    <row r="189" spans="3:8" x14ac:dyDescent="0.25">
      <c r="C189" s="28" t="s">
        <v>106</v>
      </c>
      <c r="D189" s="28">
        <v>2006</v>
      </c>
      <c r="E189" s="28" t="s">
        <v>96</v>
      </c>
      <c r="F189" s="28" t="s">
        <v>97</v>
      </c>
      <c r="G189" s="29">
        <v>549802</v>
      </c>
      <c r="H189" s="31"/>
    </row>
    <row r="190" spans="3:8" x14ac:dyDescent="0.25">
      <c r="C190" s="28" t="s">
        <v>106</v>
      </c>
      <c r="D190" s="28">
        <v>2006</v>
      </c>
      <c r="E190" s="28" t="s">
        <v>98</v>
      </c>
      <c r="F190" s="28" t="s">
        <v>97</v>
      </c>
      <c r="G190" s="29">
        <v>493119</v>
      </c>
      <c r="H190" s="31"/>
    </row>
    <row r="191" spans="3:8" x14ac:dyDescent="0.25">
      <c r="C191" s="28" t="s">
        <v>106</v>
      </c>
      <c r="D191" s="28">
        <v>2006</v>
      </c>
      <c r="E191" s="28" t="s">
        <v>99</v>
      </c>
      <c r="F191" s="28" t="s">
        <v>97</v>
      </c>
      <c r="G191" s="29">
        <v>576355</v>
      </c>
      <c r="H191" s="31"/>
    </row>
    <row r="192" spans="3:8" x14ac:dyDescent="0.25">
      <c r="C192" s="28" t="s">
        <v>106</v>
      </c>
      <c r="D192" s="28">
        <v>2006</v>
      </c>
      <c r="E192" s="28" t="s">
        <v>100</v>
      </c>
      <c r="F192" s="28" t="s">
        <v>97</v>
      </c>
      <c r="G192" s="29">
        <v>670233</v>
      </c>
      <c r="H192" s="31"/>
    </row>
    <row r="193" spans="3:8" x14ac:dyDescent="0.25">
      <c r="C193" s="28" t="s">
        <v>106</v>
      </c>
      <c r="D193" s="28">
        <v>2006</v>
      </c>
      <c r="E193" s="28" t="s">
        <v>101</v>
      </c>
      <c r="F193" s="28" t="s">
        <v>97</v>
      </c>
      <c r="G193" s="29">
        <v>524001</v>
      </c>
      <c r="H193" s="31"/>
    </row>
    <row r="194" spans="3:8" x14ac:dyDescent="0.25">
      <c r="C194" s="28" t="s">
        <v>106</v>
      </c>
      <c r="D194" s="28">
        <v>2006</v>
      </c>
      <c r="E194" s="28" t="s">
        <v>102</v>
      </c>
      <c r="F194" s="28" t="s">
        <v>97</v>
      </c>
      <c r="G194" s="29">
        <v>527703</v>
      </c>
      <c r="H194" s="31"/>
    </row>
    <row r="195" spans="3:8" x14ac:dyDescent="0.25">
      <c r="C195" s="28" t="s">
        <v>106</v>
      </c>
      <c r="D195" s="28">
        <v>2006</v>
      </c>
      <c r="E195" s="28" t="s">
        <v>96</v>
      </c>
      <c r="F195" s="28" t="s">
        <v>103</v>
      </c>
      <c r="G195" s="30">
        <v>355197</v>
      </c>
      <c r="H195" s="31"/>
    </row>
    <row r="196" spans="3:8" x14ac:dyDescent="0.25">
      <c r="C196" s="28" t="s">
        <v>106</v>
      </c>
      <c r="D196" s="28">
        <v>2006</v>
      </c>
      <c r="E196" s="28" t="s">
        <v>98</v>
      </c>
      <c r="F196" s="28" t="s">
        <v>103</v>
      </c>
      <c r="G196" s="30">
        <v>420947</v>
      </c>
      <c r="H196" s="31"/>
    </row>
    <row r="197" spans="3:8" x14ac:dyDescent="0.25">
      <c r="C197" s="28" t="s">
        <v>106</v>
      </c>
      <c r="D197" s="28">
        <v>2006</v>
      </c>
      <c r="E197" s="28" t="s">
        <v>99</v>
      </c>
      <c r="F197" s="28" t="s">
        <v>103</v>
      </c>
      <c r="G197" s="30">
        <v>423393</v>
      </c>
      <c r="H197" s="31"/>
    </row>
    <row r="198" spans="3:8" x14ac:dyDescent="0.25">
      <c r="C198" s="28" t="s">
        <v>106</v>
      </c>
      <c r="D198" s="28">
        <v>2006</v>
      </c>
      <c r="E198" s="28" t="s">
        <v>100</v>
      </c>
      <c r="F198" s="28" t="s">
        <v>103</v>
      </c>
      <c r="G198" s="30">
        <v>547726</v>
      </c>
      <c r="H198" s="31"/>
    </row>
    <row r="199" spans="3:8" x14ac:dyDescent="0.25">
      <c r="C199" s="28" t="s">
        <v>106</v>
      </c>
      <c r="D199" s="28">
        <v>2006</v>
      </c>
      <c r="E199" s="28" t="s">
        <v>101</v>
      </c>
      <c r="F199" s="28" t="s">
        <v>103</v>
      </c>
      <c r="G199" s="30">
        <v>478507</v>
      </c>
      <c r="H199" s="31"/>
    </row>
    <row r="200" spans="3:8" x14ac:dyDescent="0.25">
      <c r="C200" s="28" t="s">
        <v>106</v>
      </c>
      <c r="D200" s="28">
        <v>2006</v>
      </c>
      <c r="E200" s="28" t="s">
        <v>102</v>
      </c>
      <c r="F200" s="28" t="s">
        <v>103</v>
      </c>
      <c r="G200" s="30">
        <v>425549</v>
      </c>
      <c r="H200" s="31"/>
    </row>
    <row r="201" spans="3:8" x14ac:dyDescent="0.25">
      <c r="C201" s="28" t="s">
        <v>106</v>
      </c>
      <c r="D201" s="28">
        <v>2006</v>
      </c>
      <c r="E201" s="28" t="s">
        <v>96</v>
      </c>
      <c r="F201" s="28" t="s">
        <v>104</v>
      </c>
      <c r="G201" s="29">
        <v>618631</v>
      </c>
      <c r="H201" s="31"/>
    </row>
    <row r="202" spans="3:8" x14ac:dyDescent="0.25">
      <c r="C202" s="28" t="s">
        <v>106</v>
      </c>
      <c r="D202" s="28">
        <v>2006</v>
      </c>
      <c r="E202" s="28" t="s">
        <v>98</v>
      </c>
      <c r="F202" s="28" t="s">
        <v>104</v>
      </c>
      <c r="G202" s="29">
        <v>593074</v>
      </c>
      <c r="H202" s="31"/>
    </row>
    <row r="203" spans="3:8" x14ac:dyDescent="0.25">
      <c r="C203" s="28" t="s">
        <v>106</v>
      </c>
      <c r="D203" s="28">
        <v>2006</v>
      </c>
      <c r="E203" s="28" t="s">
        <v>99</v>
      </c>
      <c r="F203" s="28" t="s">
        <v>104</v>
      </c>
      <c r="G203" s="29">
        <v>708115</v>
      </c>
      <c r="H203" s="31"/>
    </row>
    <row r="204" spans="3:8" x14ac:dyDescent="0.25">
      <c r="C204" s="28" t="s">
        <v>106</v>
      </c>
      <c r="D204" s="28">
        <v>2006</v>
      </c>
      <c r="E204" s="28" t="s">
        <v>100</v>
      </c>
      <c r="F204" s="28" t="s">
        <v>104</v>
      </c>
      <c r="G204" s="29">
        <v>657230</v>
      </c>
      <c r="H204" s="31"/>
    </row>
    <row r="205" spans="3:8" x14ac:dyDescent="0.25">
      <c r="C205" s="28" t="s">
        <v>106</v>
      </c>
      <c r="D205" s="28">
        <v>2006</v>
      </c>
      <c r="E205" s="28" t="s">
        <v>101</v>
      </c>
      <c r="F205" s="28" t="s">
        <v>104</v>
      </c>
      <c r="G205" s="29">
        <v>636020</v>
      </c>
      <c r="H205" s="31"/>
    </row>
    <row r="206" spans="3:8" x14ac:dyDescent="0.25">
      <c r="C206" s="28" t="s">
        <v>106</v>
      </c>
      <c r="D206" s="28">
        <v>2006</v>
      </c>
      <c r="E206" s="28" t="s">
        <v>102</v>
      </c>
      <c r="F206" s="28" t="s">
        <v>104</v>
      </c>
      <c r="G206" s="29">
        <v>648918</v>
      </c>
      <c r="H206" s="31"/>
    </row>
    <row r="207" spans="3:8" x14ac:dyDescent="0.25">
      <c r="C207" s="28" t="s">
        <v>107</v>
      </c>
      <c r="D207" s="28">
        <v>2006</v>
      </c>
      <c r="E207" s="28" t="s">
        <v>96</v>
      </c>
      <c r="F207" s="28" t="s">
        <v>97</v>
      </c>
      <c r="G207" s="29">
        <v>508848</v>
      </c>
    </row>
    <row r="208" spans="3:8" x14ac:dyDescent="0.25">
      <c r="C208" s="28" t="s">
        <v>107</v>
      </c>
      <c r="D208" s="28">
        <v>2006</v>
      </c>
      <c r="E208" s="28" t="s">
        <v>98</v>
      </c>
      <c r="F208" s="28" t="s">
        <v>97</v>
      </c>
      <c r="G208" s="29">
        <v>522433</v>
      </c>
    </row>
    <row r="209" spans="3:7" x14ac:dyDescent="0.25">
      <c r="C209" s="28" t="s">
        <v>107</v>
      </c>
      <c r="D209" s="28">
        <v>2006</v>
      </c>
      <c r="E209" s="28" t="s">
        <v>99</v>
      </c>
      <c r="F209" s="28" t="s">
        <v>97</v>
      </c>
      <c r="G209" s="29">
        <v>526729</v>
      </c>
    </row>
    <row r="210" spans="3:7" x14ac:dyDescent="0.25">
      <c r="C210" s="28" t="s">
        <v>107</v>
      </c>
      <c r="D210" s="28">
        <v>2006</v>
      </c>
      <c r="E210" s="28" t="s">
        <v>100</v>
      </c>
      <c r="F210" s="28" t="s">
        <v>97</v>
      </c>
      <c r="G210" s="29">
        <v>504010</v>
      </c>
    </row>
    <row r="211" spans="3:7" x14ac:dyDescent="0.25">
      <c r="C211" s="28" t="s">
        <v>107</v>
      </c>
      <c r="D211" s="28">
        <v>2006</v>
      </c>
      <c r="E211" s="28" t="s">
        <v>101</v>
      </c>
      <c r="F211" s="28" t="s">
        <v>97</v>
      </c>
      <c r="G211" s="29">
        <v>426401</v>
      </c>
    </row>
    <row r="212" spans="3:7" x14ac:dyDescent="0.25">
      <c r="C212" s="28" t="s">
        <v>107</v>
      </c>
      <c r="D212" s="28">
        <v>2006</v>
      </c>
      <c r="E212" s="28" t="s">
        <v>102</v>
      </c>
      <c r="F212" s="28" t="s">
        <v>97</v>
      </c>
      <c r="G212" s="29">
        <v>430903</v>
      </c>
    </row>
    <row r="213" spans="3:7" x14ac:dyDescent="0.25">
      <c r="C213" s="28" t="s">
        <v>107</v>
      </c>
      <c r="D213" s="28">
        <v>2006</v>
      </c>
      <c r="E213" s="28" t="s">
        <v>96</v>
      </c>
      <c r="F213" s="28" t="s">
        <v>103</v>
      </c>
      <c r="G213" s="30">
        <v>319614</v>
      </c>
    </row>
    <row r="214" spans="3:7" x14ac:dyDescent="0.25">
      <c r="C214" s="28" t="s">
        <v>107</v>
      </c>
      <c r="D214" s="28">
        <v>2006</v>
      </c>
      <c r="E214" s="28" t="s">
        <v>98</v>
      </c>
      <c r="F214" s="28" t="s">
        <v>103</v>
      </c>
      <c r="G214" s="30">
        <v>417155</v>
      </c>
    </row>
    <row r="215" spans="3:7" x14ac:dyDescent="0.25">
      <c r="C215" s="28" t="s">
        <v>107</v>
      </c>
      <c r="D215" s="28">
        <v>2006</v>
      </c>
      <c r="E215" s="28" t="s">
        <v>99</v>
      </c>
      <c r="F215" s="28" t="s">
        <v>103</v>
      </c>
      <c r="G215" s="30">
        <v>395381</v>
      </c>
    </row>
    <row r="216" spans="3:7" x14ac:dyDescent="0.25">
      <c r="C216" s="28" t="s">
        <v>107</v>
      </c>
      <c r="D216" s="28">
        <v>2006</v>
      </c>
      <c r="E216" s="28" t="s">
        <v>100</v>
      </c>
      <c r="F216" s="28" t="s">
        <v>103</v>
      </c>
      <c r="G216" s="30">
        <v>385921</v>
      </c>
    </row>
    <row r="217" spans="3:7" x14ac:dyDescent="0.25">
      <c r="C217" s="28" t="s">
        <v>107</v>
      </c>
      <c r="D217" s="28">
        <v>2006</v>
      </c>
      <c r="E217" s="28" t="s">
        <v>101</v>
      </c>
      <c r="F217" s="28" t="s">
        <v>103</v>
      </c>
      <c r="G217" s="30">
        <v>349157</v>
      </c>
    </row>
    <row r="218" spans="3:7" x14ac:dyDescent="0.25">
      <c r="C218" s="28" t="s">
        <v>107</v>
      </c>
      <c r="D218" s="28">
        <v>2006</v>
      </c>
      <c r="E218" s="28" t="s">
        <v>102</v>
      </c>
      <c r="F218" s="28" t="s">
        <v>103</v>
      </c>
      <c r="G218" s="30">
        <v>375737</v>
      </c>
    </row>
    <row r="219" spans="3:7" x14ac:dyDescent="0.25">
      <c r="C219" s="28" t="s">
        <v>107</v>
      </c>
      <c r="D219" s="28">
        <v>2006</v>
      </c>
      <c r="E219" s="28" t="s">
        <v>96</v>
      </c>
      <c r="F219" s="28" t="s">
        <v>104</v>
      </c>
      <c r="G219" s="29">
        <v>528322</v>
      </c>
    </row>
    <row r="220" spans="3:7" x14ac:dyDescent="0.25">
      <c r="C220" s="28" t="s">
        <v>107</v>
      </c>
      <c r="D220" s="28">
        <v>2006</v>
      </c>
      <c r="E220" s="28" t="s">
        <v>98</v>
      </c>
      <c r="F220" s="28" t="s">
        <v>104</v>
      </c>
      <c r="G220" s="29">
        <v>497798</v>
      </c>
    </row>
    <row r="221" spans="3:7" x14ac:dyDescent="0.25">
      <c r="C221" s="28" t="s">
        <v>107</v>
      </c>
      <c r="D221" s="28">
        <v>2006</v>
      </c>
      <c r="E221" s="28" t="s">
        <v>99</v>
      </c>
      <c r="F221" s="28" t="s">
        <v>104</v>
      </c>
      <c r="G221" s="29">
        <v>515122</v>
      </c>
    </row>
    <row r="222" spans="3:7" x14ac:dyDescent="0.25">
      <c r="C222" s="28" t="s">
        <v>107</v>
      </c>
      <c r="D222" s="28">
        <v>2006</v>
      </c>
      <c r="E222" s="28" t="s">
        <v>100</v>
      </c>
      <c r="F222" s="28" t="s">
        <v>104</v>
      </c>
      <c r="G222" s="29">
        <v>501404</v>
      </c>
    </row>
    <row r="223" spans="3:7" x14ac:dyDescent="0.25">
      <c r="C223" s="28" t="s">
        <v>107</v>
      </c>
      <c r="D223" s="28">
        <v>2006</v>
      </c>
      <c r="E223" s="28" t="s">
        <v>101</v>
      </c>
      <c r="F223" s="28" t="s">
        <v>104</v>
      </c>
      <c r="G223" s="29">
        <v>518350</v>
      </c>
    </row>
    <row r="224" spans="3:7" x14ac:dyDescent="0.25">
      <c r="C224" s="28" t="s">
        <v>107</v>
      </c>
      <c r="D224" s="28">
        <v>2006</v>
      </c>
      <c r="E224" s="28" t="s">
        <v>102</v>
      </c>
      <c r="F224" s="28" t="s">
        <v>104</v>
      </c>
      <c r="G224" s="29">
        <v>445582</v>
      </c>
    </row>
  </sheetData>
  <phoneticPr fontId="8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2:F67"/>
  <sheetViews>
    <sheetView workbookViewId="0"/>
  </sheetViews>
  <sheetFormatPr defaultColWidth="9" defaultRowHeight="13.2" x14ac:dyDescent="0.25"/>
  <cols>
    <col min="1" max="2" width="9" style="76"/>
    <col min="3" max="3" width="45.59765625" style="76" customWidth="1"/>
    <col min="4" max="4" width="11.09765625" style="76" customWidth="1"/>
    <col min="5" max="5" width="11.59765625" style="76" customWidth="1"/>
    <col min="6" max="6" width="24.5" style="76" customWidth="1"/>
    <col min="7" max="16384" width="9" style="76"/>
  </cols>
  <sheetData>
    <row r="2" spans="2:6" ht="15.6" x14ac:dyDescent="0.3">
      <c r="B2" s="77" t="s">
        <v>218</v>
      </c>
    </row>
    <row r="4" spans="2:6" ht="16.2" x14ac:dyDescent="0.35">
      <c r="B4" s="100" t="s">
        <v>170</v>
      </c>
    </row>
    <row r="6" spans="2:6" ht="27" thickBot="1" x14ac:dyDescent="0.3">
      <c r="B6" s="78"/>
      <c r="C6" s="79" t="s">
        <v>135</v>
      </c>
      <c r="D6" s="80" t="s">
        <v>136</v>
      </c>
      <c r="E6" s="80" t="s">
        <v>137</v>
      </c>
      <c r="F6" s="80" t="s">
        <v>138</v>
      </c>
    </row>
    <row r="7" spans="2:6" x14ac:dyDescent="0.25">
      <c r="D7" s="81"/>
      <c r="E7" s="81"/>
      <c r="F7" s="82"/>
    </row>
    <row r="8" spans="2:6" x14ac:dyDescent="0.25">
      <c r="B8" s="82"/>
      <c r="C8" s="83" t="s">
        <v>112</v>
      </c>
      <c r="D8" s="84"/>
      <c r="E8" s="84"/>
      <c r="F8" s="85"/>
    </row>
    <row r="9" spans="2:6" x14ac:dyDescent="0.25">
      <c r="B9" s="82"/>
      <c r="C9" s="82" t="s">
        <v>139</v>
      </c>
      <c r="D9" s="86">
        <v>3</v>
      </c>
      <c r="E9" s="87"/>
      <c r="F9" s="88"/>
    </row>
    <row r="10" spans="2:6" x14ac:dyDescent="0.25">
      <c r="B10" s="82"/>
      <c r="C10" s="82" t="s">
        <v>140</v>
      </c>
      <c r="D10" s="86">
        <v>3</v>
      </c>
      <c r="E10" s="87"/>
      <c r="F10" s="88"/>
    </row>
    <row r="11" spans="2:6" x14ac:dyDescent="0.25">
      <c r="B11" s="82"/>
      <c r="C11" s="82" t="s">
        <v>141</v>
      </c>
      <c r="D11" s="86">
        <v>1</v>
      </c>
      <c r="E11" s="87"/>
      <c r="F11" s="88"/>
    </row>
    <row r="12" spans="2:6" x14ac:dyDescent="0.25">
      <c r="B12" s="82"/>
      <c r="C12" s="89" t="s">
        <v>142</v>
      </c>
      <c r="D12" s="86"/>
      <c r="E12" s="87"/>
      <c r="F12" s="88"/>
    </row>
    <row r="13" spans="2:6" x14ac:dyDescent="0.25">
      <c r="B13" s="82"/>
      <c r="C13" s="89" t="s">
        <v>143</v>
      </c>
      <c r="D13" s="86"/>
      <c r="E13" s="87"/>
      <c r="F13" s="88"/>
    </row>
    <row r="14" spans="2:6" x14ac:dyDescent="0.25">
      <c r="B14" s="82"/>
      <c r="C14" s="82"/>
      <c r="D14" s="86"/>
      <c r="E14" s="87"/>
      <c r="F14" s="88"/>
    </row>
    <row r="15" spans="2:6" x14ac:dyDescent="0.25">
      <c r="B15" s="82"/>
      <c r="C15" s="83" t="s">
        <v>111</v>
      </c>
      <c r="D15" s="86"/>
      <c r="E15" s="87"/>
      <c r="F15" s="88"/>
    </row>
    <row r="16" spans="2:6" x14ac:dyDescent="0.25">
      <c r="B16" s="82"/>
      <c r="C16" s="82" t="s">
        <v>144</v>
      </c>
      <c r="D16" s="86">
        <v>2</v>
      </c>
      <c r="E16" s="87"/>
      <c r="F16" s="88"/>
    </row>
    <row r="17" spans="2:6" x14ac:dyDescent="0.25">
      <c r="B17" s="82"/>
      <c r="C17" s="82" t="s">
        <v>145</v>
      </c>
      <c r="D17" s="86">
        <v>2</v>
      </c>
      <c r="E17" s="87"/>
      <c r="F17" s="88"/>
    </row>
    <row r="18" spans="2:6" x14ac:dyDescent="0.25">
      <c r="B18" s="82"/>
      <c r="C18" s="82"/>
      <c r="D18" s="86"/>
      <c r="E18" s="87"/>
      <c r="F18" s="88"/>
    </row>
    <row r="19" spans="2:6" x14ac:dyDescent="0.25">
      <c r="B19" s="82"/>
      <c r="C19" s="83" t="s">
        <v>113</v>
      </c>
      <c r="D19" s="86"/>
      <c r="E19" s="87"/>
      <c r="F19" s="88"/>
    </row>
    <row r="20" spans="2:6" x14ac:dyDescent="0.25">
      <c r="B20" s="82"/>
      <c r="C20" s="82" t="s">
        <v>146</v>
      </c>
      <c r="D20" s="86">
        <v>0.5</v>
      </c>
      <c r="E20" s="87"/>
      <c r="F20" s="88"/>
    </row>
    <row r="21" spans="2:6" x14ac:dyDescent="0.25">
      <c r="B21" s="82"/>
      <c r="C21" s="82" t="s">
        <v>147</v>
      </c>
      <c r="D21" s="86">
        <v>0.5</v>
      </c>
      <c r="E21" s="87"/>
      <c r="F21" s="88"/>
    </row>
    <row r="22" spans="2:6" x14ac:dyDescent="0.25">
      <c r="B22" s="82"/>
      <c r="C22" s="82"/>
      <c r="D22" s="86"/>
      <c r="E22" s="87"/>
      <c r="F22" s="88"/>
    </row>
    <row r="23" spans="2:6" x14ac:dyDescent="0.25">
      <c r="B23" s="82"/>
      <c r="C23" s="83" t="s">
        <v>148</v>
      </c>
      <c r="D23" s="86"/>
      <c r="E23" s="87"/>
      <c r="F23" s="88"/>
    </row>
    <row r="24" spans="2:6" x14ac:dyDescent="0.25">
      <c r="B24" s="82"/>
      <c r="C24" s="90" t="s">
        <v>149</v>
      </c>
      <c r="D24" s="86"/>
      <c r="E24" s="87"/>
      <c r="F24" s="88"/>
    </row>
    <row r="25" spans="2:6" x14ac:dyDescent="0.25">
      <c r="B25" s="82"/>
      <c r="C25" s="82" t="s">
        <v>150</v>
      </c>
      <c r="D25" s="86">
        <v>2</v>
      </c>
      <c r="E25" s="87"/>
      <c r="F25" s="88"/>
    </row>
    <row r="26" spans="2:6" x14ac:dyDescent="0.25">
      <c r="B26" s="82"/>
      <c r="C26" s="82" t="s">
        <v>151</v>
      </c>
      <c r="D26" s="86">
        <v>2</v>
      </c>
      <c r="E26" s="87"/>
      <c r="F26" s="88"/>
    </row>
    <row r="27" spans="2:6" x14ac:dyDescent="0.25">
      <c r="B27" s="82"/>
      <c r="C27" s="82"/>
      <c r="D27" s="86"/>
      <c r="E27" s="87"/>
      <c r="F27" s="88"/>
    </row>
    <row r="28" spans="2:6" x14ac:dyDescent="0.25">
      <c r="B28" s="82"/>
      <c r="C28" s="83" t="s">
        <v>130</v>
      </c>
      <c r="D28" s="86"/>
      <c r="E28" s="87"/>
      <c r="F28" s="88"/>
    </row>
    <row r="29" spans="2:6" x14ac:dyDescent="0.25">
      <c r="B29" s="82"/>
      <c r="C29" s="82" t="s">
        <v>152</v>
      </c>
      <c r="D29" s="86">
        <v>1</v>
      </c>
      <c r="E29" s="87"/>
      <c r="F29" s="88"/>
    </row>
    <row r="30" spans="2:6" x14ac:dyDescent="0.25">
      <c r="B30" s="82"/>
      <c r="C30" s="82" t="s">
        <v>153</v>
      </c>
      <c r="D30" s="86">
        <v>2</v>
      </c>
      <c r="E30" s="87"/>
      <c r="F30" s="88"/>
    </row>
    <row r="31" spans="2:6" x14ac:dyDescent="0.25">
      <c r="B31" s="82"/>
      <c r="C31" s="82" t="s">
        <v>154</v>
      </c>
      <c r="D31" s="86">
        <v>1</v>
      </c>
      <c r="E31" s="87"/>
      <c r="F31" s="88"/>
    </row>
    <row r="32" spans="2:6" x14ac:dyDescent="0.25">
      <c r="B32" s="82"/>
      <c r="C32" s="82"/>
      <c r="D32" s="86"/>
      <c r="E32" s="87"/>
      <c r="F32" s="88"/>
    </row>
    <row r="33" spans="2:6" x14ac:dyDescent="0.25">
      <c r="B33" s="82"/>
      <c r="C33" s="82"/>
      <c r="D33" s="86"/>
      <c r="E33" s="87"/>
      <c r="F33" s="88"/>
    </row>
    <row r="34" spans="2:6" x14ac:dyDescent="0.25">
      <c r="B34" s="82"/>
      <c r="C34" s="83" t="s">
        <v>205</v>
      </c>
      <c r="D34" s="86">
        <v>1</v>
      </c>
      <c r="E34" s="87"/>
      <c r="F34" s="88"/>
    </row>
    <row r="35" spans="2:6" x14ac:dyDescent="0.25">
      <c r="B35" s="82"/>
      <c r="C35" s="82" t="s">
        <v>212</v>
      </c>
      <c r="D35" s="86">
        <v>1</v>
      </c>
      <c r="E35" s="87"/>
      <c r="F35" s="88"/>
    </row>
    <row r="36" spans="2:6" x14ac:dyDescent="0.25">
      <c r="B36" s="82"/>
      <c r="C36" s="82" t="s">
        <v>208</v>
      </c>
      <c r="D36" s="86"/>
      <c r="E36" s="87"/>
      <c r="F36" s="88"/>
    </row>
    <row r="37" spans="2:6" x14ac:dyDescent="0.25">
      <c r="B37" s="82"/>
      <c r="C37" s="82"/>
      <c r="D37" s="86"/>
      <c r="E37" s="87"/>
      <c r="F37" s="88"/>
    </row>
    <row r="38" spans="2:6" x14ac:dyDescent="0.25">
      <c r="B38" s="82"/>
      <c r="C38" s="82"/>
      <c r="D38" s="86"/>
      <c r="E38" s="87"/>
      <c r="F38" s="88"/>
    </row>
    <row r="39" spans="2:6" x14ac:dyDescent="0.25">
      <c r="B39" s="82"/>
      <c r="C39" s="83" t="s">
        <v>206</v>
      </c>
      <c r="D39" s="86"/>
      <c r="E39" s="87"/>
      <c r="F39" s="88"/>
    </row>
    <row r="40" spans="2:6" x14ac:dyDescent="0.25">
      <c r="B40" s="82"/>
      <c r="C40" s="82" t="s">
        <v>209</v>
      </c>
      <c r="D40" s="86">
        <v>1</v>
      </c>
      <c r="E40" s="87"/>
      <c r="F40" s="88"/>
    </row>
    <row r="41" spans="2:6" x14ac:dyDescent="0.25">
      <c r="B41" s="82"/>
      <c r="C41" s="82" t="s">
        <v>210</v>
      </c>
      <c r="D41" s="86">
        <v>1</v>
      </c>
      <c r="E41" s="87"/>
      <c r="F41" s="88"/>
    </row>
    <row r="42" spans="2:6" x14ac:dyDescent="0.25">
      <c r="B42" s="82"/>
      <c r="C42" s="82" t="s">
        <v>211</v>
      </c>
      <c r="D42" s="86"/>
      <c r="E42" s="87"/>
      <c r="F42" s="88"/>
    </row>
    <row r="43" spans="2:6" x14ac:dyDescent="0.25">
      <c r="B43" s="82"/>
      <c r="C43" s="82"/>
      <c r="D43" s="86"/>
      <c r="E43" s="87"/>
      <c r="F43" s="88"/>
    </row>
    <row r="44" spans="2:6" x14ac:dyDescent="0.25">
      <c r="B44" s="82"/>
      <c r="C44" s="82"/>
      <c r="D44" s="86"/>
      <c r="E44" s="87"/>
      <c r="F44" s="88"/>
    </row>
    <row r="45" spans="2:6" x14ac:dyDescent="0.25">
      <c r="B45" s="82"/>
      <c r="C45" s="83" t="s">
        <v>207</v>
      </c>
      <c r="D45" s="86"/>
      <c r="E45" s="87"/>
      <c r="F45" s="88"/>
    </row>
    <row r="46" spans="2:6" x14ac:dyDescent="0.25">
      <c r="B46" s="82"/>
      <c r="C46" s="82" t="s">
        <v>155</v>
      </c>
      <c r="D46" s="86">
        <v>4</v>
      </c>
      <c r="E46" s="87"/>
      <c r="F46" s="88"/>
    </row>
    <row r="47" spans="2:6" x14ac:dyDescent="0.25">
      <c r="B47" s="82"/>
      <c r="C47" s="82" t="s">
        <v>156</v>
      </c>
      <c r="D47" s="86"/>
      <c r="E47" s="87"/>
      <c r="F47" s="88"/>
    </row>
    <row r="48" spans="2:6" x14ac:dyDescent="0.25">
      <c r="B48" s="82"/>
      <c r="C48" s="82" t="s">
        <v>157</v>
      </c>
      <c r="D48" s="86"/>
      <c r="E48" s="87"/>
      <c r="F48" s="88"/>
    </row>
    <row r="49" spans="2:6" x14ac:dyDescent="0.25">
      <c r="B49" s="82"/>
      <c r="C49" s="82"/>
      <c r="D49" s="86"/>
      <c r="E49" s="87"/>
      <c r="F49" s="88"/>
    </row>
    <row r="50" spans="2:6" x14ac:dyDescent="0.25">
      <c r="B50" s="82"/>
      <c r="C50" s="82" t="s">
        <v>158</v>
      </c>
      <c r="D50" s="86">
        <v>4</v>
      </c>
      <c r="E50" s="87"/>
      <c r="F50" s="88"/>
    </row>
    <row r="51" spans="2:6" x14ac:dyDescent="0.25">
      <c r="B51" s="82"/>
      <c r="C51" s="82" t="s">
        <v>159</v>
      </c>
      <c r="D51" s="86"/>
      <c r="E51" s="87"/>
      <c r="F51" s="88"/>
    </row>
    <row r="52" spans="2:6" x14ac:dyDescent="0.25">
      <c r="B52" s="82"/>
      <c r="C52" s="91" t="s">
        <v>160</v>
      </c>
      <c r="D52" s="86"/>
      <c r="E52" s="87"/>
      <c r="F52" s="88"/>
    </row>
    <row r="53" spans="2:6" x14ac:dyDescent="0.25">
      <c r="B53" s="82"/>
      <c r="C53" s="82"/>
      <c r="D53" s="86"/>
      <c r="E53" s="87"/>
      <c r="F53" s="88"/>
    </row>
    <row r="54" spans="2:6" x14ac:dyDescent="0.25">
      <c r="B54" s="82"/>
      <c r="C54" s="91" t="s">
        <v>161</v>
      </c>
      <c r="D54" s="86">
        <v>4</v>
      </c>
      <c r="E54" s="87"/>
      <c r="F54" s="88"/>
    </row>
    <row r="55" spans="2:6" x14ac:dyDescent="0.25">
      <c r="B55" s="82"/>
      <c r="C55" s="91" t="s">
        <v>162</v>
      </c>
      <c r="D55" s="86"/>
      <c r="E55" s="87"/>
      <c r="F55" s="88"/>
    </row>
    <row r="56" spans="2:6" x14ac:dyDescent="0.25">
      <c r="B56" s="82"/>
      <c r="C56" s="82" t="s">
        <v>163</v>
      </c>
      <c r="D56" s="86"/>
      <c r="E56" s="87"/>
      <c r="F56" s="88"/>
    </row>
    <row r="57" spans="2:6" x14ac:dyDescent="0.25">
      <c r="B57" s="82"/>
      <c r="C57" s="91" t="s">
        <v>164</v>
      </c>
      <c r="D57" s="86"/>
      <c r="E57" s="87"/>
      <c r="F57" s="88"/>
    </row>
    <row r="58" spans="2:6" x14ac:dyDescent="0.25">
      <c r="B58" s="82"/>
      <c r="C58" s="82"/>
      <c r="D58" s="86"/>
      <c r="E58" s="87"/>
      <c r="F58" s="88"/>
    </row>
    <row r="59" spans="2:6" x14ac:dyDescent="0.25">
      <c r="B59" s="82"/>
      <c r="C59" s="82" t="s">
        <v>165</v>
      </c>
      <c r="D59" s="86">
        <v>4</v>
      </c>
      <c r="E59" s="87"/>
      <c r="F59" s="88"/>
    </row>
    <row r="60" spans="2:6" x14ac:dyDescent="0.25">
      <c r="B60" s="82"/>
      <c r="C60" s="82" t="s">
        <v>166</v>
      </c>
      <c r="D60" s="86"/>
      <c r="E60" s="87"/>
      <c r="F60" s="88"/>
    </row>
    <row r="61" spans="2:6" x14ac:dyDescent="0.25">
      <c r="B61" s="82"/>
      <c r="C61" s="82" t="s">
        <v>167</v>
      </c>
      <c r="D61" s="86"/>
      <c r="E61" s="87"/>
      <c r="F61" s="88"/>
    </row>
    <row r="62" spans="2:6" x14ac:dyDescent="0.25">
      <c r="B62" s="82"/>
      <c r="C62" s="82" t="s">
        <v>168</v>
      </c>
      <c r="D62" s="86"/>
      <c r="E62" s="87"/>
      <c r="F62" s="88"/>
    </row>
    <row r="63" spans="2:6" x14ac:dyDescent="0.25">
      <c r="C63" s="92"/>
      <c r="D63" s="93"/>
      <c r="E63" s="94"/>
      <c r="F63" s="95"/>
    </row>
    <row r="64" spans="2:6" ht="13.8" thickBot="1" x14ac:dyDescent="0.3">
      <c r="B64" s="78"/>
      <c r="C64" s="78"/>
      <c r="D64" s="96"/>
      <c r="E64" s="96"/>
      <c r="F64" s="78"/>
    </row>
    <row r="65" spans="3:6" ht="21" customHeight="1" thickBot="1" x14ac:dyDescent="0.35">
      <c r="C65" s="97" t="s">
        <v>169</v>
      </c>
      <c r="D65" s="147">
        <f>SUM(D8:D60)</f>
        <v>40</v>
      </c>
      <c r="E65" s="148">
        <f>SUM(E8:E60)</f>
        <v>0</v>
      </c>
    </row>
    <row r="66" spans="3:6" ht="19.5" customHeight="1" thickBot="1" x14ac:dyDescent="0.35">
      <c r="C66" s="149" t="s">
        <v>219</v>
      </c>
      <c r="E66" s="150"/>
      <c r="F66" s="151" t="s">
        <v>220</v>
      </c>
    </row>
    <row r="67" spans="3:6" ht="21" customHeight="1" thickBot="1" x14ac:dyDescent="0.35">
      <c r="C67" s="99" t="s">
        <v>221</v>
      </c>
      <c r="D67" s="98"/>
      <c r="E67" s="147">
        <f>D65-(E65+E66)</f>
        <v>40</v>
      </c>
    </row>
  </sheetData>
  <pageMargins left="0.75" right="0.75" top="1" bottom="1" header="0.5" footer="0.5"/>
  <pageSetup orientation="portrait" r:id="rId1"/>
  <headerFooter alignWithMargins="0">
    <oddHeader>&amp;L2008&amp;CBusiness Computer Applications&amp;RScoring Guidelines</oddHeader>
    <oddFooter>&amp;R&amp;D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Introduction </vt:lpstr>
      <vt:lpstr>Task 1-Contract Work</vt:lpstr>
      <vt:lpstr>Tables</vt:lpstr>
      <vt:lpstr>Task 2-Total Pay Report </vt:lpstr>
      <vt:lpstr>Task 3-Employee Name Report </vt:lpstr>
      <vt:lpstr>Task 4-Summarize Sales</vt:lpstr>
      <vt:lpstr>Task 5-Analyze Stock Returns </vt:lpstr>
      <vt:lpstr>Task 6- Outlining</vt:lpstr>
      <vt:lpstr>Task 7- Data Validation</vt:lpstr>
      <vt:lpstr>Task 8- Pivot Tables</vt:lpstr>
      <vt:lpstr>Scoring Guide</vt:lpstr>
      <vt:lpstr>Clients</vt:lpstr>
      <vt:lpstr>'Task 7- Data Validation'!CriteriaList</vt:lpstr>
      <vt:lpstr>Database</vt:lpstr>
      <vt:lpstr>Employees</vt:lpstr>
      <vt:lpstr>'Task 5-Analyze Stock Returns '!PMReturns</vt:lpstr>
      <vt:lpstr>Work_Codes</vt:lpstr>
    </vt:vector>
  </TitlesOfParts>
  <Company>Fuqua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Ecklund</dc:creator>
  <cp:lastModifiedBy>Osama AlRaee</cp:lastModifiedBy>
  <cp:lastPrinted>2008-06-06T14:47:34Z</cp:lastPrinted>
  <dcterms:created xsi:type="dcterms:W3CDTF">1998-06-16T17:37:51Z</dcterms:created>
  <dcterms:modified xsi:type="dcterms:W3CDTF">2021-04-21T04:18:41Z</dcterms:modified>
</cp:coreProperties>
</file>